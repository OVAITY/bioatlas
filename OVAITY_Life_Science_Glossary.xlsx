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roberto/Desktop/Business/Ovaity/00_Foundation/"/>
    </mc:Choice>
  </mc:AlternateContent>
  <xr:revisionPtr revIDLastSave="0" documentId="13_ncr:1_{415A28B7-16CD-A645-9466-B60E848B91F2}" xr6:coauthVersionLast="47" xr6:coauthVersionMax="47" xr10:uidLastSave="{00000000-0000-0000-0000-000000000000}"/>
  <bookViews>
    <workbookView xWindow="0" yWindow="640" windowWidth="34560" windowHeight="21700" activeTab="1" xr2:uid="{00000000-000D-0000-FFFF-FFFF00000000}"/>
  </bookViews>
  <sheets>
    <sheet name="Start Here" sheetId="1" r:id="rId1"/>
    <sheet name="Glossary" sheetId="2" r:id="rId2"/>
    <sheet name="Methodologies" sheetId="3" r:id="rId3"/>
    <sheet name="Learning Path" sheetId="4" r:id="rId4"/>
    <sheet name="Learning Log" sheetId="5" r:id="rId5"/>
    <sheet name="Sources" sheetId="6" r:id="rId6"/>
    <sheet name="Lis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E16" i="1"/>
  <c r="B16" i="1"/>
  <c r="E15" i="1"/>
  <c r="B15" i="1"/>
  <c r="E14" i="1"/>
  <c r="E17" i="1" s="1"/>
  <c r="B14" i="1"/>
  <c r="B10" i="1"/>
  <c r="B8" i="1"/>
  <c r="B7" i="1"/>
  <c r="B9" i="1" s="1"/>
  <c r="B6" i="1"/>
  <c r="B5" i="1"/>
</calcChain>
</file>

<file path=xl/sharedStrings.xml><?xml version="1.0" encoding="utf-8"?>
<sst xmlns="http://schemas.openxmlformats.org/spreadsheetml/2006/main" count="5028" uniqueCount="2929">
  <si>
    <t>OVAITY Life-Science Learning Glossary</t>
  </si>
  <si>
    <t>A structured, continuously expandable learning system for entering life-science R&amp;D from another field.</t>
  </si>
  <si>
    <t>Workbook summary</t>
  </si>
  <si>
    <t>Value</t>
  </si>
  <si>
    <t>How to use this workbook</t>
  </si>
  <si>
    <t>Glossary terms</t>
  </si>
  <si>
    <t>1</t>
  </si>
  <si>
    <t>Begin with Essential + Foundation terms.</t>
  </si>
  <si>
    <t>Methodologies</t>
  </si>
  <si>
    <t>2</t>
  </si>
  <si>
    <t>Filter the Glossary by domain, priority or level.</t>
  </si>
  <si>
    <t>Glossary terms marked confident</t>
  </si>
  <si>
    <t>3</t>
  </si>
  <si>
    <t>Rewrite each definition in your own words in the Learning Log.</t>
  </si>
  <si>
    <t>Methods marked confident</t>
  </si>
  <si>
    <t>4</t>
  </si>
  <si>
    <t>Move status from Not started → Learning → Reviewed → Confident.</t>
  </si>
  <si>
    <t>Overall confident items</t>
  </si>
  <si>
    <t>5</t>
  </si>
  <si>
    <t>Use Methodologies to understand how evidence is actually produced.</t>
  </si>
  <si>
    <t>Learning-log entries</t>
  </si>
  <si>
    <t>6</t>
  </si>
  <si>
    <t>Add new terminology as OVAITY conversations expose knowledge gaps.</t>
  </si>
  <si>
    <t>Glossary status</t>
  </si>
  <si>
    <t>Count</t>
  </si>
  <si>
    <t>Priority</t>
  </si>
  <si>
    <t>Not started</t>
  </si>
  <si>
    <t>Essential</t>
  </si>
  <si>
    <t>Learning</t>
  </si>
  <si>
    <t>Core</t>
  </si>
  <si>
    <t>Reviewed</t>
  </si>
  <si>
    <t>Optional</t>
  </si>
  <si>
    <t>Confident</t>
  </si>
  <si>
    <t>Total</t>
  </si>
  <si>
    <t>Suggested first 20 concepts</t>
  </si>
  <si>
    <t>Cell</t>
  </si>
  <si>
    <t>DNA</t>
  </si>
  <si>
    <t>RNA</t>
  </si>
  <si>
    <t>Protein</t>
  </si>
  <si>
    <t>Gene</t>
  </si>
  <si>
    <t>Genome</t>
  </si>
  <si>
    <t>Phenotype</t>
  </si>
  <si>
    <t>Experiment</t>
  </si>
  <si>
    <t>Sample</t>
  </si>
  <si>
    <t>Control group</t>
  </si>
  <si>
    <t>Biological replicate</t>
  </si>
  <si>
    <t>Assay</t>
  </si>
  <si>
    <t>Metadata</t>
  </si>
  <si>
    <t>Pipeline</t>
  </si>
  <si>
    <t>Provenance</t>
  </si>
  <si>
    <t>Reproducibility</t>
  </si>
  <si>
    <t>Genomics</t>
  </si>
  <si>
    <t>Transcriptomics</t>
  </si>
  <si>
    <t>Target</t>
  </si>
  <si>
    <t>Mechanism of action</t>
  </si>
  <si>
    <t>Rule of thumb:</t>
  </si>
  <si>
    <t>Always ask: What was measured? In which biological system? With which controls? Using which method? Compared with what? Under which assumptions?</t>
  </si>
  <si>
    <t>OVAITY lens:</t>
  </si>
  <si>
    <t>Preserve the link between the biological question, samples, protocols, raw data, processing, results, decisions and evidence.</t>
  </si>
  <si>
    <t>ID</t>
  </si>
  <si>
    <t>Term</t>
  </si>
  <si>
    <t>Acronym</t>
  </si>
  <si>
    <t>Domain</t>
  </si>
  <si>
    <t>Level</t>
  </si>
  <si>
    <t>Definition</t>
  </si>
  <si>
    <t>Why it matters</t>
  </si>
  <si>
    <t>Example</t>
  </si>
  <si>
    <t>Related concepts</t>
  </si>
  <si>
    <t>Common confusion</t>
  </si>
  <si>
    <t>Status</t>
  </si>
  <si>
    <t>Confidence (1-5)</t>
  </si>
  <si>
    <t>Personal notes</t>
  </si>
  <si>
    <t>Source URL</t>
  </si>
  <si>
    <t>Biology Foundations</t>
  </si>
  <si>
    <t>Foundation</t>
  </si>
  <si>
    <t>The smallest unit capable of carrying out the basic processes of life.</t>
  </si>
  <si>
    <t>Most experiments measure or manipulate cells.</t>
  </si>
  <si>
    <t>Testing how immune cells respond to a compound.</t>
  </si>
  <si>
    <t>Tissue; organelle; membrane</t>
  </si>
  <si>
    <t>A cell is not always a complete organism.</t>
  </si>
  <si>
    <t>https://www.ncbi.nlm.nih.gov/books/</t>
  </si>
  <si>
    <t>Organism</t>
  </si>
  <si>
    <t>An individual living system, such as a bacterium, plant, animal or human.</t>
  </si>
  <si>
    <t>Biological observations must be interpreted in organism context.</t>
  </si>
  <si>
    <t>A mouse used in a preclinical study.</t>
  </si>
  <si>
    <t>Species; model organism; phenotype</t>
  </si>
  <si>
    <t>Species is a classification; organism is an individual.</t>
  </si>
  <si>
    <t>Species</t>
  </si>
  <si>
    <t>A biological classification grouping closely related organisms.</t>
  </si>
  <si>
    <t>Species affects gene names, pathways and experimental interpretation.</t>
  </si>
  <si>
    <t>Homo sapiens or Mus musculus.</t>
  </si>
  <si>
    <t>Taxonomy; strain; organism</t>
  </si>
  <si>
    <t>A strain is a variant within a species.</t>
  </si>
  <si>
    <t>Tissue</t>
  </si>
  <si>
    <t>A group of cells organized to perform related functions.</t>
  </si>
  <si>
    <t>Many molecular signals are tissue-specific.</t>
  </si>
  <si>
    <t>Liver tissue collected for RNA-seq.</t>
  </si>
  <si>
    <t>Cell; organ; biopsy</t>
  </si>
  <si>
    <t>A tissue contains multiple cell types.</t>
  </si>
  <si>
    <t>Organ</t>
  </si>
  <si>
    <t>A structure made of multiple tissues that performs specific functions.</t>
  </si>
  <si>
    <t>Disease and drug effects are often organ-specific.</t>
  </si>
  <si>
    <t>The liver metabolizes many medicines.</t>
  </si>
  <si>
    <t>Tissue; physiology; anatomy</t>
  </si>
  <si>
    <t>An organ contains several tissue types.</t>
  </si>
  <si>
    <t>Organelle</t>
  </si>
  <si>
    <t>A specialized structure within a cell.</t>
  </si>
  <si>
    <t>Cellular processes occur in specific compartments.</t>
  </si>
  <si>
    <t>Mitochondria generate much cellular ATP.</t>
  </si>
  <si>
    <t>Nucleus; mitochondrion; lysosome</t>
  </si>
  <si>
    <t>Organelles are parts of cells.</t>
  </si>
  <si>
    <t>Homeostasis</t>
  </si>
  <si>
    <t>The dynamic maintenance of stable internal biological conditions.</t>
  </si>
  <si>
    <t>Disease often reflects disrupted regulation.</t>
  </si>
  <si>
    <t>Blood glucose regulation.</t>
  </si>
  <si>
    <t>Feedback; physiology; metabolism</t>
  </si>
  <si>
    <t>Homeostasis is not absolute constancy.</t>
  </si>
  <si>
    <t>An observable characteristic produced by genotype, environment and their interaction.</t>
  </si>
  <si>
    <t>Experiments connect molecular changes to phenotypic outcomes.</t>
  </si>
  <si>
    <t>Drug-resistant growth or altered cell shape.</t>
  </si>
  <si>
    <t>Genotype; trait; endpoint</t>
  </si>
  <si>
    <t>Phenotype is observed; genotype is genetic makeup.</t>
  </si>
  <si>
    <t>Genotype</t>
  </si>
  <si>
    <t>The genetic makeup of an organism or alleles at a locus.</t>
  </si>
  <si>
    <t>Genotype can explain phenotype and treatment response.</t>
  </si>
  <si>
    <t>A sample carrying a BRCA1 variant.</t>
  </si>
  <si>
    <t>Allele; variant; phenotype</t>
  </si>
  <si>
    <t>Genotype can refer to one locus or the whole genome.</t>
  </si>
  <si>
    <t>Pathogen</t>
  </si>
  <si>
    <t>A biological agent capable of causing disease.</t>
  </si>
  <si>
    <t>Pathogen research underpins diagnostics and anti-infective drugs.</t>
  </si>
  <si>
    <t>Influenza virus or pathogenic E. coli.</t>
  </si>
  <si>
    <t>Host; infection; virulence</t>
  </si>
  <si>
    <t>Not every microbe is pathogenic.</t>
  </si>
  <si>
    <t>Host</t>
  </si>
  <si>
    <t>An organism or cell that supports another organism or virus.</t>
  </si>
  <si>
    <t>Host biology influences infection and therapeutic response.</t>
  </si>
  <si>
    <t>Human airway cells infected by a virus.</t>
  </si>
  <si>
    <t>Pathogen; vector; microbiome</t>
  </si>
  <si>
    <t>A vector transmits; a host supports.</t>
  </si>
  <si>
    <t>Microbiome</t>
  </si>
  <si>
    <t>A microbial community and its collective genetic material in an environment.</t>
  </si>
  <si>
    <t>Microbiomes influence health, disease and drug response.</t>
  </si>
  <si>
    <t>The human gut microbiome.</t>
  </si>
  <si>
    <t>Microbiota; metagenomics; host</t>
  </si>
  <si>
    <t>Microbiota means the organisms; microbiome often includes genes and context.</t>
  </si>
  <si>
    <t>Model organism</t>
  </si>
  <si>
    <t>A non-human species studied to understand biological processes.</t>
  </si>
  <si>
    <t>Model organisms enable controlled and reproducible research.</t>
  </si>
  <si>
    <t>Mouse, zebrafish, fruit fly or yeast.</t>
  </si>
  <si>
    <t>In vivo; translational research; species</t>
  </si>
  <si>
    <t>A model never perfectly represents humans.</t>
  </si>
  <si>
    <t>Physiology</t>
  </si>
  <si>
    <t>The study of how living systems function.</t>
  </si>
  <si>
    <t>It connects molecular mechanisms to organs and organisms.</t>
  </si>
  <si>
    <t>How kidneys regulate water balance.</t>
  </si>
  <si>
    <t>Anatomy; homeostasis; phenotype</t>
  </si>
  <si>
    <t>Anatomy is structure; physiology is function.</t>
  </si>
  <si>
    <t>Anatomy</t>
  </si>
  <si>
    <t>The structure and organization of living systems.</t>
  </si>
  <si>
    <t>Anatomical context is essential for imaging, pathology and sampling.</t>
  </si>
  <si>
    <t>Mapping a tumor within an organ.</t>
  </si>
  <si>
    <t>Physiology; tissue; morphology</t>
  </si>
  <si>
    <t>Anatomy describes structure, not function.</t>
  </si>
  <si>
    <t>Cell &amp; Molecular Biology</t>
  </si>
  <si>
    <t>Deoxyribonucleic acid, the molecule storing most hereditary information.</t>
  </si>
  <si>
    <t>DNA sequence underpins genetics, genomics and many diagnostics.</t>
  </si>
  <si>
    <t>Sequencing tumor DNA to identify variants.</t>
  </si>
  <si>
    <t>Gene; chromosome; genome</t>
  </si>
  <si>
    <t>DNA is the molecule; a gene is a functional region.</t>
  </si>
  <si>
    <t>Ribonucleic acid molecules involved in expression, regulation and catalysis.</t>
  </si>
  <si>
    <t>RNA measurements reveal gene activity and cellular response.</t>
  </si>
  <si>
    <t>Measuring messenger RNA after treatment.</t>
  </si>
  <si>
    <t>mRNA; transcriptome; transcription</t>
  </si>
  <si>
    <t>RNA includes many types, not only mRNA.</t>
  </si>
  <si>
    <t>An amino-acid molecule performing structural, catalytic, signaling or regulatory functions.</t>
  </si>
  <si>
    <t>Proteins execute most cellular functions and are major drug targets.</t>
  </si>
  <si>
    <t>Measuring a receptor protein in tumor cells.</t>
  </si>
  <si>
    <t>Gene; peptide; enzyme</t>
  </si>
  <si>
    <t>RNA abundance does not always predict protein abundance.</t>
  </si>
  <si>
    <t>A DNA sequence contributing to a functional RNA or protein product.</t>
  </si>
  <si>
    <t>Genes are a primary unit for organizing biological knowledge.</t>
  </si>
  <si>
    <t>TP53 encodes a tumor-suppressor protein.</t>
  </si>
  <si>
    <t>Locus; allele; transcript</t>
  </si>
  <si>
    <t>A gene can produce several transcripts and proteins.</t>
  </si>
  <si>
    <t>The complete genetic material of an organism or cell.</t>
  </si>
  <si>
    <t>Genome-scale analysis captures coding and non-coding variation.</t>
  </si>
  <si>
    <t>A human genome includes nuclear and mitochondrial DNA.</t>
  </si>
  <si>
    <t>Chromosome; gene; genomics</t>
  </si>
  <si>
    <t>Genome is broader than exome.</t>
  </si>
  <si>
    <t>Chromosome</t>
  </si>
  <si>
    <t>A packaged DNA molecule containing genes and regulatory regions.</t>
  </si>
  <si>
    <t>Chromosome structure and number can affect disease.</t>
  </si>
  <si>
    <t>Humans usually have 23 chromosome pairs.</t>
  </si>
  <si>
    <t>Genome; chromatin; karyotype</t>
  </si>
  <si>
    <t>Chromosomes are not always visibly compact.</t>
  </si>
  <si>
    <t>Nucleus</t>
  </si>
  <si>
    <t>The membrane-bound organelle containing most DNA in eukaryotic cells.</t>
  </si>
  <si>
    <t>Many gene-regulation processes occur in the nucleus.</t>
  </si>
  <si>
    <t>Transcription of a gene.</t>
  </si>
  <si>
    <t>Chromatin; organelle; cytoplasm</t>
  </si>
  <si>
    <t>Bacteria lack a membrane-bound nucleus.</t>
  </si>
  <si>
    <t>Mitochondrion</t>
  </si>
  <si>
    <t>An organelle involved in energy metabolism, signaling and cell death.</t>
  </si>
  <si>
    <t>Mitochondrial dysfunction contributes to many diseases.</t>
  </si>
  <si>
    <t>Measuring mitochondrial respiration.</t>
  </si>
  <si>
    <t>ATP; metabolism; organelle</t>
  </si>
  <si>
    <t>Mitochondria have their own genome.</t>
  </si>
  <si>
    <t>Cell membrane</t>
  </si>
  <si>
    <t>A lipid bilayer controlling exchange and signaling between cell and environment.</t>
  </si>
  <si>
    <t>Many receptors and drug targets are membrane proteins.</t>
  </si>
  <si>
    <t>A growth factor binding its receptor.</t>
  </si>
  <si>
    <t>Receptor; transport; lipid bilayer</t>
  </si>
  <si>
    <t>The membrane is dynamic, not a rigid wall.</t>
  </si>
  <si>
    <t>Cytoplasm</t>
  </si>
  <si>
    <t>Cellular material outside the nucleus, including cytosol and organelles.</t>
  </si>
  <si>
    <t>Many metabolic and signaling reactions occur there.</t>
  </si>
  <si>
    <t>Translation by ribosomes in the cytoplasm.</t>
  </si>
  <si>
    <t>Cytosol; nucleus; organelle</t>
  </si>
  <si>
    <t>Cytosol is only the fluid portion.</t>
  </si>
  <si>
    <t>Ribosome</t>
  </si>
  <si>
    <t>A molecular machine translating messenger RNA into protein.</t>
  </si>
  <si>
    <t>Ribosomes connect gene expression to protein production.</t>
  </si>
  <si>
    <t>Translation of an mRNA sequence.</t>
  </si>
  <si>
    <t>Translation; mRNA; protein</t>
  </si>
  <si>
    <t>Ribosomes contain RNA and protein.</t>
  </si>
  <si>
    <t>Enzyme</t>
  </si>
  <si>
    <t>A biological catalyst accelerating a reaction without being consumed.</t>
  </si>
  <si>
    <t>Enzymes drive metabolism and are common drug targets.</t>
  </si>
  <si>
    <t>A kinase adding a phosphate group.</t>
  </si>
  <si>
    <t>Catalysis; substrate; protein</t>
  </si>
  <si>
    <t>Not all proteins are enzymes.</t>
  </si>
  <si>
    <t>Receptor</t>
  </si>
  <si>
    <t>A molecule that detects a signal and initiates a cellular response.</t>
  </si>
  <si>
    <t>Many therapies activate or block receptors.</t>
  </si>
  <si>
    <t>An antibody blocking a growth-factor receptor.</t>
  </si>
  <si>
    <t>Ligand; signaling; membrane protein</t>
  </si>
  <si>
    <t>Some receptors are intracellular.</t>
  </si>
  <si>
    <t>Ligand</t>
  </si>
  <si>
    <t>A molecule that binds specifically to another molecule.</t>
  </si>
  <si>
    <t>Ligand binding is fundamental to signaling and pharmacology.</t>
  </si>
  <si>
    <t>A hormone binding a receptor.</t>
  </si>
  <si>
    <t>Receptor; affinity; agonist</t>
  </si>
  <si>
    <t>Binding does not always activate a receptor.</t>
  </si>
  <si>
    <t>Cell signaling</t>
  </si>
  <si>
    <t>Processes through which cells sense information and coordinate responses.</t>
  </si>
  <si>
    <t>Signaling explains how perturbations produce phenotypes.</t>
  </si>
  <si>
    <t>Insulin signaling changes glucose uptake.</t>
  </si>
  <si>
    <t>Pathway; receptor; phosphorylation</t>
  </si>
  <si>
    <t>Pathways are interconnected, not isolated lines.</t>
  </si>
  <si>
    <t>Metabolism</t>
  </si>
  <si>
    <t>The network of chemical reactions sustaining life.</t>
  </si>
  <si>
    <t>Metabolic state reflects function and disease vulnerabilities.</t>
  </si>
  <si>
    <t>Glucose conversion through glycolysis.</t>
  </si>
  <si>
    <t>Metabolite; enzyme; pathway</t>
  </si>
  <si>
    <t>Metabolism includes breakdown and synthesis.</t>
  </si>
  <si>
    <t>Metabolite</t>
  </si>
  <si>
    <t>A small molecule produced, consumed or transformed by metabolism.</t>
  </si>
  <si>
    <t>Metabolites provide a close readout of biochemical activity.</t>
  </si>
  <si>
    <t>Lactate, glucose or an amino acid.</t>
  </si>
  <si>
    <t>Metabolism; biomarker; metabolomics</t>
  </si>
  <si>
    <t>A drug can form active or inactive metabolites.</t>
  </si>
  <si>
    <t>ATP</t>
  </si>
  <si>
    <t>Adenosine triphosphate, a molecule transferring usable chemical energy.</t>
  </si>
  <si>
    <t>ATP powers most energy-dependent cellular processes.</t>
  </si>
  <si>
    <t>ATP powers molecular motors.</t>
  </si>
  <si>
    <t>Mitochondrion; energy; ADP</t>
  </si>
  <si>
    <t>ATP is not long-term energy storage.</t>
  </si>
  <si>
    <t>Cell cycle</t>
  </si>
  <si>
    <t>Ordered stages through which a cell grows, duplicates DNA and divides.</t>
  </si>
  <si>
    <t>Cell-cycle changes are central to cancer and proliferation.</t>
  </si>
  <si>
    <t>G1, S, G2 and M phases.</t>
  </si>
  <si>
    <t>Mitosis; proliferation; checkpoint</t>
  </si>
  <si>
    <t>The cell cycle includes more than mitosis.</t>
  </si>
  <si>
    <t>Mitosis</t>
  </si>
  <si>
    <t>Nuclear division producing two genetically similar daughter nuclei.</t>
  </si>
  <si>
    <t>Mitosis is measured in growth and cancer research.</t>
  </si>
  <si>
    <t>Chromosome segregation.</t>
  </si>
  <si>
    <t>Cell cycle; chromosome; cytokinesis</t>
  </si>
  <si>
    <t>Mitosis is nuclear division; cytokinesis divides the cell.</t>
  </si>
  <si>
    <t>Meiosis</t>
  </si>
  <si>
    <t>Specialized division producing haploid reproductive cells and genetic variation.</t>
  </si>
  <si>
    <t>It explains inheritance and recombination.</t>
  </si>
  <si>
    <t>Formation of sperm or eggs.</t>
  </si>
  <si>
    <t>Recombination; gamete; inheritance</t>
  </si>
  <si>
    <t>Meiosis differs fundamentally from mitosis.</t>
  </si>
  <si>
    <t>Apoptosis</t>
  </si>
  <si>
    <t>A regulated form of programmed cell death.</t>
  </si>
  <si>
    <t>Many therapies aim to trigger apoptosis in diseased cells.</t>
  </si>
  <si>
    <t>Caspase activation after treatment.</t>
  </si>
  <si>
    <t>Necrosis; caspase; cell death</t>
  </si>
  <si>
    <t>Apoptosis differs from accidental injury.</t>
  </si>
  <si>
    <t>Necrosis</t>
  </si>
  <si>
    <t>Cell death associated with severe damage and loss of membrane integrity.</t>
  </si>
  <si>
    <t>It can indicate toxicity or inflammation.</t>
  </si>
  <si>
    <t>Cells dying after extreme heat.</t>
  </si>
  <si>
    <t>Apoptosis; toxicity; inflammation</t>
  </si>
  <si>
    <t>Necrosis is not always entirely unregulated.</t>
  </si>
  <si>
    <t>Differentiation</t>
  </si>
  <si>
    <t>The process by which a less specialized cell gains a specialized identity.</t>
  </si>
  <si>
    <t>It is essential in development and stem-cell models.</t>
  </si>
  <si>
    <t>A stem cell becoming a neuron.</t>
  </si>
  <si>
    <t>Stem cell; lineage; cell state</t>
  </si>
  <si>
    <t>Differentiation is not simply growth.</t>
  </si>
  <si>
    <t>Stem cell</t>
  </si>
  <si>
    <t>A cell capable of self-renewal and producing differentiated cell types.</t>
  </si>
  <si>
    <t>Stem cells enable regenerative medicine and disease models.</t>
  </si>
  <si>
    <t>iPSCs differentiated into cardiomyocytes.</t>
  </si>
  <si>
    <t>Pluripotency; differentiation; organoid</t>
  </si>
  <si>
    <t>Not all stem cells can form every cell type.</t>
  </si>
  <si>
    <t>Organoid</t>
  </si>
  <si>
    <t>Advanced</t>
  </si>
  <si>
    <t>A three-dimensional culture reproducing selected features of an organ.</t>
  </si>
  <si>
    <t>Organoids are often more realistic than 2D cultures.</t>
  </si>
  <si>
    <t>Patient-derived intestinal organoids.</t>
  </si>
  <si>
    <t>3D culture; stem cell; model system</t>
  </si>
  <si>
    <t>An organoid is not a complete organ.</t>
  </si>
  <si>
    <t>Cell line</t>
  </si>
  <si>
    <t>A cell population maintained in culture over repeated passages.</t>
  </si>
  <si>
    <t>Cell lines offer accessible experimental systems.</t>
  </si>
  <si>
    <t>HEK293 or HeLa cells.</t>
  </si>
  <si>
    <t>Primary cell; passage; culture</t>
  </si>
  <si>
    <t>Cell lines can drift over time.</t>
  </si>
  <si>
    <t>Primary cell</t>
  </si>
  <si>
    <t>A cell isolated directly from tissue and cultured for a limited time.</t>
  </si>
  <si>
    <t>Primary cells often retain donor-specific biology.</t>
  </si>
  <si>
    <t>Human primary hepatocytes.</t>
  </si>
  <si>
    <t>Cell line; donor; ex vivo</t>
  </si>
  <si>
    <t>Primary does not automatically mean more reproducible.</t>
  </si>
  <si>
    <t>Allele</t>
  </si>
  <si>
    <t>Genetics &amp; Genomics</t>
  </si>
  <si>
    <t>One of several alternative DNA sequences at a genomic location.</t>
  </si>
  <si>
    <t>Alleles underlie inherited variation.</t>
  </si>
  <si>
    <t>A reference and alternate allele.</t>
  </si>
  <si>
    <t>Locus; genotype; variant</t>
  </si>
  <si>
    <t>An allele is not necessarily harmful.</t>
  </si>
  <si>
    <t>https://www.genome.gov/genetics-glossary</t>
  </si>
  <si>
    <t>Locus</t>
  </si>
  <si>
    <t>A specific position or region on a chromosome.</t>
  </si>
  <si>
    <t>Genomic data must be anchored to coordinates.</t>
  </si>
  <si>
    <t>The location of a gene or variant.</t>
  </si>
  <si>
    <t>Coordinate; allele; gene</t>
  </si>
  <si>
    <t>A locus may be coding or non-coding.</t>
  </si>
  <si>
    <t>Variant</t>
  </si>
  <si>
    <t>A DNA sequence difference relative to a reference.</t>
  </si>
  <si>
    <t>Variants can affect traits, disease and treatment response.</t>
  </si>
  <si>
    <t>A single-base tumor change.</t>
  </si>
  <si>
    <t>Mutation; allele; polymorphism</t>
  </si>
  <si>
    <t>Variant is neutral terminology.</t>
  </si>
  <si>
    <t>Mutation</t>
  </si>
  <si>
    <t>A DNA sequence change arising through replication, damage or other processes.</t>
  </si>
  <si>
    <t>Mutations generate variation and can drive disease.</t>
  </si>
  <si>
    <t>A somatic oncogene mutation.</t>
  </si>
  <si>
    <t>Variant; somatic; germline</t>
  </si>
  <si>
    <t>Not every mutation causes disease.</t>
  </si>
  <si>
    <t>Single-nucleotide variant</t>
  </si>
  <si>
    <t>SNV</t>
  </si>
  <si>
    <t>A difference at one nucleotide position.</t>
  </si>
  <si>
    <t>SNVs are the most common small variant class.</t>
  </si>
  <si>
    <t>A C-to-T substitution.</t>
  </si>
  <si>
    <t>SNP; variant; substitution</t>
  </si>
  <si>
    <t>A SNP is generally a common SNV.</t>
  </si>
  <si>
    <t>Single-nucleotide polymorphism</t>
  </si>
  <si>
    <t>SNP</t>
  </si>
  <si>
    <t>A single-nucleotide variant common in a population.</t>
  </si>
  <si>
    <t>SNPs are widely used in association studies.</t>
  </si>
  <si>
    <t>A common trait-associated allele.</t>
  </si>
  <si>
    <t>SNV; GWAS; frequency</t>
  </si>
  <si>
    <t>All SNPs are SNVs, not all SNVs are SNPs.</t>
  </si>
  <si>
    <t>Insertion</t>
  </si>
  <si>
    <t>INS</t>
  </si>
  <si>
    <t>A variant adding one or more nucleotides relative to a reference.</t>
  </si>
  <si>
    <t>Insertions can alter coding or regulatory sequence.</t>
  </si>
  <si>
    <t>A three-base exon insertion.</t>
  </si>
  <si>
    <t>Deletion; indel; frameshift</t>
  </si>
  <si>
    <t>Insertion is reference-dependent.</t>
  </si>
  <si>
    <t>Deletion</t>
  </si>
  <si>
    <t>DEL</t>
  </si>
  <si>
    <t>A variant removing one or more nucleotides relative to a reference.</t>
  </si>
  <si>
    <t>Deletions can disrupt genes or regulatory regions.</t>
  </si>
  <si>
    <t>Loss of part of a tumor suppressor.</t>
  </si>
  <si>
    <t>Insertion; CNV; indel</t>
  </si>
  <si>
    <t>Deletion size ranges from one base to large regions.</t>
  </si>
  <si>
    <t>Indel</t>
  </si>
  <si>
    <t>A small insertion or deletion.</t>
  </si>
  <si>
    <t>Indels are common outputs of short-read variant calling.</t>
  </si>
  <si>
    <t>A two-base deletion causing a frameshift.</t>
  </si>
  <si>
    <t>Insertion; deletion; frameshift</t>
  </si>
  <si>
    <t>The term usually means relatively small changes.</t>
  </si>
  <si>
    <t>Copy-number variation</t>
  </si>
  <si>
    <t>CNV</t>
  </si>
  <si>
    <t>A genomic region present in fewer or more copies than expected.</t>
  </si>
  <si>
    <t>CNVs change gene dosage and can drive disease.</t>
  </si>
  <si>
    <t>Amplification of an oncogene.</t>
  </si>
  <si>
    <t>Deletion; amplification; structural variant</t>
  </si>
  <si>
    <t>CNV describes dosage, not exact rearrangement.</t>
  </si>
  <si>
    <t>Structural variant</t>
  </si>
  <si>
    <t>SV</t>
  </si>
  <si>
    <t>A large alteration such as deletion, duplication, inversion or translocation.</t>
  </si>
  <si>
    <t>SVs can strongly affect genes and genome organization.</t>
  </si>
  <si>
    <t>A gene fusion caused by translocation.</t>
  </si>
  <si>
    <t>CNV; inversion; translocation</t>
  </si>
  <si>
    <t>Different technologies detect different SV classes.</t>
  </si>
  <si>
    <t>Germline variant</t>
  </si>
  <si>
    <t>A variant present in reproductive cells and generally heritable.</t>
  </si>
  <si>
    <t>Germline variants affect inherited risk and pharmacogenomics.</t>
  </si>
  <si>
    <t>An inherited BRCA1 variant.</t>
  </si>
  <si>
    <t>Somatic; inheritance; pedigree</t>
  </si>
  <si>
    <t>Germline status requires suitable evidence.</t>
  </si>
  <si>
    <t>Somatic variant</t>
  </si>
  <si>
    <t>A variant acquired after conception and present in only some cells.</t>
  </si>
  <si>
    <t>Somatic variants are central to cancer.</t>
  </si>
  <si>
    <t>A tumor-only mutation.</t>
  </si>
  <si>
    <t>Germline; tumor; mosaicism</t>
  </si>
  <si>
    <t>Tumor data alone may not prove somatic origin.</t>
  </si>
  <si>
    <t>Homozygous</t>
  </si>
  <si>
    <t>Having two identical alleles at a diploid locus.</t>
  </si>
  <si>
    <t>Zygosity affects inheritance and function.</t>
  </si>
  <si>
    <t>Two copies of a recessive allele.</t>
  </si>
  <si>
    <t>Heterozygous; genotype; allele</t>
  </si>
  <si>
    <t>Some genomic regions are not diploid.</t>
  </si>
  <si>
    <t>Heterozygous</t>
  </si>
  <si>
    <t>Having two different alleles at a diploid locus.</t>
  </si>
  <si>
    <t>Heterozygosity influences inheritance and allele-specific effects.</t>
  </si>
  <si>
    <t>One reference and one alternate allele.</t>
  </si>
  <si>
    <t>Homozygous; genotype; allele fraction</t>
  </si>
  <si>
    <t>Read fractions may differ from exactly 50%.</t>
  </si>
  <si>
    <t>Dominant</t>
  </si>
  <si>
    <t>An inheritance pattern where one allele copy can influence phenotype.</t>
  </si>
  <si>
    <t>It helps predict familial transmission.</t>
  </si>
  <si>
    <t>An autosomal-dominant disorder.</t>
  </si>
  <si>
    <t>Recessive; penetrance; inheritance</t>
  </si>
  <si>
    <t>Dominant does not mean common or severe.</t>
  </si>
  <si>
    <t>Recessive</t>
  </si>
  <si>
    <t>An inheritance pattern where a phenotype generally requires two affected copies.</t>
  </si>
  <si>
    <t>It explains many inherited disorders.</t>
  </si>
  <si>
    <t>A biallelic loss-of-function disease.</t>
  </si>
  <si>
    <t>Dominant; carrier; inheritance</t>
  </si>
  <si>
    <t>X-linked patterns differ.</t>
  </si>
  <si>
    <t>Recombination</t>
  </si>
  <si>
    <t>Exchange or rearrangement of genetic material, especially during meiosis.</t>
  </si>
  <si>
    <t>Recombination shapes inheritance and diversity.</t>
  </si>
  <si>
    <t>Crossing over between chromosomes.</t>
  </si>
  <si>
    <t>Meiosis; haplotype; linkage</t>
  </si>
  <si>
    <t>Rates vary across the genome.</t>
  </si>
  <si>
    <t>Haplotype</t>
  </si>
  <si>
    <t>A set of alleles on one chromosome segment inherited together.</t>
  </si>
  <si>
    <t>Haplotypes support ancestry and allele-specific analysis.</t>
  </si>
  <si>
    <t>A group of linked SNP alleles.</t>
  </si>
  <si>
    <t>LD; phasing; allele</t>
  </si>
  <si>
    <t>Genotypes may not reveal chromosome phase.</t>
  </si>
  <si>
    <t>Linkage disequilibrium</t>
  </si>
  <si>
    <t>LD</t>
  </si>
  <si>
    <t>Non-random association of alleles at different loci.</t>
  </si>
  <si>
    <t>LD allows marker variants to tag nearby causal variation.</t>
  </si>
  <si>
    <t>A GWAS SNP correlated with a functional variant.</t>
  </si>
  <si>
    <t>Haplotype; GWAS; recombination</t>
  </si>
  <si>
    <t>LD is population-specific and not causation.</t>
  </si>
  <si>
    <t>Reference genome</t>
  </si>
  <si>
    <t>A representative assembled DNA sequence used as a coordinate system.</t>
  </si>
  <si>
    <t>Alignment and variant descriptions depend on reference version.</t>
  </si>
  <si>
    <t>GRCh38 for human genomics.</t>
  </si>
  <si>
    <t>Genome build; assembly; coordinate</t>
  </si>
  <si>
    <t>A reference is not a typical individual's genome.</t>
  </si>
  <si>
    <t>Genome assembly</t>
  </si>
  <si>
    <t>Computational reconstruction of a genome from sequence reads.</t>
  </si>
  <si>
    <t>Assembly quality determines what can be studied.</t>
  </si>
  <si>
    <t>Creating contigs and scaffolds.</t>
  </si>
  <si>
    <t>Contig; scaffold; reference</t>
  </si>
  <si>
    <t>Assembly can mean process or product.</t>
  </si>
  <si>
    <t>Contig</t>
  </si>
  <si>
    <t>A contiguous assembled DNA sequence without gaps.</t>
  </si>
  <si>
    <t>Contigs are primary products of assembly.</t>
  </si>
  <si>
    <t>A bacterial genome in one contig.</t>
  </si>
  <si>
    <t>Scaffold; read; assembly</t>
  </si>
  <si>
    <t>A contig may not equal a chromosome.</t>
  </si>
  <si>
    <t>Exon</t>
  </si>
  <si>
    <t>A gene segment retained in mature RNA after splicing.</t>
  </si>
  <si>
    <t>Most coding sequence is found in exons.</t>
  </si>
  <si>
    <t>An exon included in one transcript.</t>
  </si>
  <si>
    <t>Intron; transcript; splicing</t>
  </si>
  <si>
    <t>Exons may include untranslated regions.</t>
  </si>
  <si>
    <t>Intron</t>
  </si>
  <si>
    <t>A transcribed gene segment removed during RNA splicing.</t>
  </si>
  <si>
    <t>Introns contain regulatory information and disease variants.</t>
  </si>
  <si>
    <t>An intron removed from pre-mRNA.</t>
  </si>
  <si>
    <t>Exon; splice site; transcript</t>
  </si>
  <si>
    <t>Introns are not simply useless DNA.</t>
  </si>
  <si>
    <t>Promoter</t>
  </si>
  <si>
    <t>A DNA region helping initiate transcription.</t>
  </si>
  <si>
    <t>Promoter activity strongly influences expression.</t>
  </si>
  <si>
    <t>Transcription factors binding near a start site.</t>
  </si>
  <si>
    <t>Enhancer; transcription; regulation</t>
  </si>
  <si>
    <t>Promoters can be alternative and context-dependent.</t>
  </si>
  <si>
    <t>Enhancer</t>
  </si>
  <si>
    <t>A regulatory DNA element that can increase transcription, often from a distance.</t>
  </si>
  <si>
    <t>Enhancers explain cell-type-specific expression.</t>
  </si>
  <si>
    <t>A tissue-specific enhancer contacting a promoter.</t>
  </si>
  <si>
    <t>Promoter; chromatin; regulation</t>
  </si>
  <si>
    <t>The nearest gene may not be the target.</t>
  </si>
  <si>
    <t>Codon</t>
  </si>
  <si>
    <t>A three-nucleotide coding unit specifying an amino acid or stop signal.</t>
  </si>
  <si>
    <t>Codons connect nucleotide and protein sequences.</t>
  </si>
  <si>
    <t>AUG encoding methionine.</t>
  </si>
  <si>
    <t>Genetic code; translation; amino acid</t>
  </si>
  <si>
    <t>The genetic code has limited exceptions.</t>
  </si>
  <si>
    <t>Frameshift</t>
  </si>
  <si>
    <t>A coding change shifting the triplet reading frame.</t>
  </si>
  <si>
    <t>Frameshifts often strongly alter proteins.</t>
  </si>
  <si>
    <t>A one-base exon deletion.</t>
  </si>
  <si>
    <t>Indel; codon; loss of function</t>
  </si>
  <si>
    <t>Changes divisible by three do not shift the frame.</t>
  </si>
  <si>
    <t>Loss-of-function variant</t>
  </si>
  <si>
    <t>LoF</t>
  </si>
  <si>
    <t>A variant predicted or shown to reduce gene-product function.</t>
  </si>
  <si>
    <t>LoF variants help identify disease genes and targets.</t>
  </si>
  <si>
    <t>A nonsense variant truncating a protein.</t>
  </si>
  <si>
    <t>Frameshift; knockout; nonsense</t>
  </si>
  <si>
    <t>Predicted LoF may not mean complete loss.</t>
  </si>
  <si>
    <t>The large-scale study of genomes, variation, structure and function.</t>
  </si>
  <si>
    <t>Genomics is central to research and precision medicine.</t>
  </si>
  <si>
    <t>Comparing tumor and normal genomes.</t>
  </si>
  <si>
    <t>Genetics; sequencing; genome</t>
  </si>
  <si>
    <t>Genetics may focus on individual genes.</t>
  </si>
  <si>
    <t>Genome-wide association study</t>
  </si>
  <si>
    <t>GWAS</t>
  </si>
  <si>
    <t>A study testing many variants for association with a trait.</t>
  </si>
  <si>
    <t>GWAS identifies genomic regions linked to complex traits.</t>
  </si>
  <si>
    <t>Testing millions of SNPs for diabetes association.</t>
  </si>
  <si>
    <t>SNP; association; polygenic risk</t>
  </si>
  <si>
    <t>Association does not prove causation.</t>
  </si>
  <si>
    <t>Transcription</t>
  </si>
  <si>
    <t>Gene Regulation &amp; Epigenetics</t>
  </si>
  <si>
    <t>Synthesis of RNA from a DNA template.</t>
  </si>
  <si>
    <t>It is the first major step in gene expression.</t>
  </si>
  <si>
    <t>RNA polymerase producing mRNA.</t>
  </si>
  <si>
    <t>Promoter; RNA polymerase; expression</t>
  </si>
  <si>
    <t>Transcription is distinct from translation.</t>
  </si>
  <si>
    <t>https://www.encodeproject.org/</t>
  </si>
  <si>
    <t>Translation</t>
  </si>
  <si>
    <t>Synthesis of protein using messenger RNA sequence information.</t>
  </si>
  <si>
    <t>It connects RNA to protein production.</t>
  </si>
  <si>
    <t>A ribosome converting codons into amino acids.</t>
  </si>
  <si>
    <t>Ribosome; codon; protein</t>
  </si>
  <si>
    <t>Translation is distinct from transcription.</t>
  </si>
  <si>
    <t>Messenger RNA</t>
  </si>
  <si>
    <t>mRNA</t>
  </si>
  <si>
    <t>RNA carrying coding information from DNA to ribosomes.</t>
  </si>
  <si>
    <t>mRNA abundance is commonly used to infer gene activity.</t>
  </si>
  <si>
    <t>RNA-seq quantification of an expressed gene.</t>
  </si>
  <si>
    <t>Transcript; translation; RNA-seq</t>
  </si>
  <si>
    <t>mRNA is only one RNA class.</t>
  </si>
  <si>
    <t>Non-coding RNA</t>
  </si>
  <si>
    <t>ncRNA</t>
  </si>
  <si>
    <t>RNA not primarily translated into protein.</t>
  </si>
  <si>
    <t>Non-coding RNAs regulate expression, structure and catalysis.</t>
  </si>
  <si>
    <t>A microRNA repressing target transcripts.</t>
  </si>
  <si>
    <t>miRNA; lncRNA; RNA</t>
  </si>
  <si>
    <t>Non-coding does not mean non-functional.</t>
  </si>
  <si>
    <t>Transcript</t>
  </si>
  <si>
    <t>An RNA molecule produced from a genomic region.</t>
  </si>
  <si>
    <t>Transcript-level analysis reveals isoforms hidden by gene summaries.</t>
  </si>
  <si>
    <t>Two mRNA isoforms from one gene.</t>
  </si>
  <si>
    <t>Isoform; exon; splicing</t>
  </si>
  <si>
    <t>Gene and transcript IDs are not interchangeable.</t>
  </si>
  <si>
    <t>Isoform</t>
  </si>
  <si>
    <t>One of several molecular forms produced from the same gene.</t>
  </si>
  <si>
    <t>Isoforms can differ in function, localization and disease relevance.</t>
  </si>
  <si>
    <t>A receptor isoform lacking one domain.</t>
  </si>
  <si>
    <t>Transcript; protein; splicing</t>
  </si>
  <si>
    <t>Transcript and protein isoforms are related but distinct.</t>
  </si>
  <si>
    <t>RNA splicing</t>
  </si>
  <si>
    <t>Removal of introns and joining of exons from precursor RNA.</t>
  </si>
  <si>
    <t>Splicing determines mature transcripts.</t>
  </si>
  <si>
    <t>Removal of introns from pre-mRNA.</t>
  </si>
  <si>
    <t>Exon; intron; spliceosome</t>
  </si>
  <si>
    <t>Splicing can follow alternative patterns.</t>
  </si>
  <si>
    <t>Alternative splicing</t>
  </si>
  <si>
    <t>Production of different transcript isoforms through different exon or splice-site choices.</t>
  </si>
  <si>
    <t>It expands molecular diversity and can drive disease.</t>
  </si>
  <si>
    <t>Exon skipping in cancer.</t>
  </si>
  <si>
    <t>Isoform; splicing; exon</t>
  </si>
  <si>
    <t>Gene-level expression misses some splicing changes.</t>
  </si>
  <si>
    <t>Gene expression</t>
  </si>
  <si>
    <t>The process and measurable extent by which a gene produces RNA or protein.</t>
  </si>
  <si>
    <t>Expression indicates cellular identity and response.</t>
  </si>
  <si>
    <t>A cytokine gene increasing after stimulation.</t>
  </si>
  <si>
    <t>Transcription; RNA-seq; protein abundance</t>
  </si>
  <si>
    <t>RNA expression is not identical to protein activity.</t>
  </si>
  <si>
    <t>Differential expression</t>
  </si>
  <si>
    <t>DE</t>
  </si>
  <si>
    <t>Statistical comparison of gene or transcript abundance between conditions.</t>
  </si>
  <si>
    <t>It identifies molecular responses and candidate mechanisms.</t>
  </si>
  <si>
    <t>Genes changed between treated and control samples.</t>
  </si>
  <si>
    <t>Fold change; p-value; RNA-seq</t>
  </si>
  <si>
    <t>Statistical significance is not always biological importance.</t>
  </si>
  <si>
    <t>Epigenetics</t>
  </si>
  <si>
    <t>Persistent changes in gene regulation not explained solely by DNA sequence.</t>
  </si>
  <si>
    <t>Epigenetic state shapes identity, development and disease.</t>
  </si>
  <si>
    <t>DNA methylation associated with gene silencing.</t>
  </si>
  <si>
    <t>Chromatin; methylation; histone</t>
  </si>
  <si>
    <t>Epigenetics is not a synonym for every environmental effect.</t>
  </si>
  <si>
    <t>Chromatin</t>
  </si>
  <si>
    <t>DNA packaged with histones and associated molecules.</t>
  </si>
  <si>
    <t>Chromatin state controls access to regulatory DNA.</t>
  </si>
  <si>
    <t>Open chromatin at an active enhancer.</t>
  </si>
  <si>
    <t>Nucleosome; epigenetics; chromosome</t>
  </si>
  <si>
    <t>Chromatin is dynamic and cell-type-specific.</t>
  </si>
  <si>
    <t>Histone modification</t>
  </si>
  <si>
    <t>A chemical modification of histone proteins associated with chromatin state.</t>
  </si>
  <si>
    <t>Histone marks help identify active or repressed regions.</t>
  </si>
  <si>
    <t>H3K27ac at active enhancers.</t>
  </si>
  <si>
    <t>Chromatin; ChIP-seq; epigenetics</t>
  </si>
  <si>
    <t>A histone mark is not a universal on/off switch.</t>
  </si>
  <si>
    <t>DNA methylation</t>
  </si>
  <si>
    <t>Addition of methyl groups to DNA bases, commonly cytosines.</t>
  </si>
  <si>
    <t>Methylation patterns are linked to development and disease.</t>
  </si>
  <si>
    <t>Promoter hypermethylation with reduced expression.</t>
  </si>
  <si>
    <t>Epigenetics; CpG; bisulfite sequencing</t>
  </si>
  <si>
    <t>Effects depend on genomic context.</t>
  </si>
  <si>
    <t>Chromatin accessibility</t>
  </si>
  <si>
    <t>The degree to which DNA is physically accessible to regulatory proteins.</t>
  </si>
  <si>
    <t>Accessible regions often mark active regulatory elements.</t>
  </si>
  <si>
    <t>ATAC-seq peaks at enhancers.</t>
  </si>
  <si>
    <t>ATAC-seq; chromatin; enhancer</t>
  </si>
  <si>
    <t>Accessibility alone does not prove regulatory function.</t>
  </si>
  <si>
    <t>Transcription factor</t>
  </si>
  <si>
    <t>TF</t>
  </si>
  <si>
    <t>A protein that binds DNA or regulatory complexes to influence transcription.</t>
  </si>
  <si>
    <t>Transcription factors control cell identity and response programs.</t>
  </si>
  <si>
    <t>A TF activating immune-response genes.</t>
  </si>
  <si>
    <t>Motif; promoter; enhancer</t>
  </si>
  <si>
    <t>A predicted motif does not prove binding.</t>
  </si>
  <si>
    <t>Amino acid</t>
  </si>
  <si>
    <t>Proteins &amp; Proteomics</t>
  </si>
  <si>
    <t>A building block of proteins with a variable side chain.</t>
  </si>
  <si>
    <t>Amino-acid properties determine protein structure and function.</t>
  </si>
  <si>
    <t>Serine can be phosphorylated.</t>
  </si>
  <si>
    <t>Peptide; codon; protein</t>
  </si>
  <si>
    <t>There are standard and special genetically encoded amino acids.</t>
  </si>
  <si>
    <t>https://www.uniprot.org/</t>
  </si>
  <si>
    <t>Peptide</t>
  </si>
  <si>
    <t>A short chain of amino acids linked by peptide bonds.</t>
  </si>
  <si>
    <t>Peptides are measured in mass spectrometry and can act as drugs.</t>
  </si>
  <si>
    <t>A tryptic peptide identified by LC-MS/MS.</t>
  </si>
  <si>
    <t>Protein; amino acid; proteomics</t>
  </si>
  <si>
    <t>A peptide may be a protein fragment.</t>
  </si>
  <si>
    <t>Protein domain</t>
  </si>
  <si>
    <t>A structurally or functionally distinct region within a protein.</t>
  </si>
  <si>
    <t>Domains help predict function and variant effects.</t>
  </si>
  <si>
    <t>A kinase domain.</t>
  </si>
  <si>
    <t>Motif; structure; function</t>
  </si>
  <si>
    <t>A domain is generally larger than a motif.</t>
  </si>
  <si>
    <t>Protein structure</t>
  </si>
  <si>
    <t>The three-dimensional arrangement of atoms in a protein.</t>
  </si>
  <si>
    <t>Structure informs function, binding and drug design.</t>
  </si>
  <si>
    <t>A receptor binding pocket.</t>
  </si>
  <si>
    <t>Fold; domain; prediction</t>
  </si>
  <si>
    <t>Proteins can adopt multiple conformations.</t>
  </si>
  <si>
    <t>Protein folding</t>
  </si>
  <si>
    <t>The process by which a protein adopts functional conformations.</t>
  </si>
  <si>
    <t>Misfolding is linked to aggregation and disease.</t>
  </si>
  <si>
    <t>Chaperones assisting folding.</t>
  </si>
  <si>
    <t>Chaperone; structure; aggregation</t>
  </si>
  <si>
    <t>One sequence can sample multiple states.</t>
  </si>
  <si>
    <t>Post-translational modification</t>
  </si>
  <si>
    <t>PTM</t>
  </si>
  <si>
    <t>A modification made to a protein after translation.</t>
  </si>
  <si>
    <t>PTMs regulate activity, location, stability and interactions.</t>
  </si>
  <si>
    <t>Phosphorylation of a signaling protein.</t>
  </si>
  <si>
    <t>Phosphorylation; glycosylation; ubiquitination</t>
  </si>
  <si>
    <t>Protein abundance does not reveal PTM state.</t>
  </si>
  <si>
    <t>Phosphorylation</t>
  </si>
  <si>
    <t>Addition of a phosphate group to a protein.</t>
  </si>
  <si>
    <t>It rapidly regulates signaling and enzyme activity.</t>
  </si>
  <si>
    <t>A kinase phosphorylating a substrate.</t>
  </si>
  <si>
    <t>Kinase; phosphatase; signaling</t>
  </si>
  <si>
    <t>A site may activate or inhibit depending on context.</t>
  </si>
  <si>
    <t>Glycosylation</t>
  </si>
  <si>
    <t>Enzymatic attachment of sugar groups to proteins or lipids.</t>
  </si>
  <si>
    <t>It affects folding, trafficking, stability and biologics.</t>
  </si>
  <si>
    <t>Glycosylation of an antibody Fc region.</t>
  </si>
  <si>
    <t>PTM; glycoprotein; secretion</t>
  </si>
  <si>
    <t>Patterns vary by cell type and production system.</t>
  </si>
  <si>
    <t>Protein complex</t>
  </si>
  <si>
    <t>A group of interacting proteins performing a coordinated function.</t>
  </si>
  <si>
    <t>Complexes explain functions not attributable to one protein.</t>
  </si>
  <si>
    <t>The ribosome or proteasome.</t>
  </si>
  <si>
    <t>PPI; subunit; pathway</t>
  </si>
  <si>
    <t>Co-expression does not prove a physical complex.</t>
  </si>
  <si>
    <t>Protein-protein interaction</t>
  </si>
  <si>
    <t>PPI</t>
  </si>
  <si>
    <t>A physical or functional association between proteins.</t>
  </si>
  <si>
    <t>PPIs define pathways, complexes and intervention points.</t>
  </si>
  <si>
    <t>A receptor recruiting an adaptor protein.</t>
  </si>
  <si>
    <t>Protein complex; affinity; network</t>
  </si>
  <si>
    <t>Functional association may be indirect.</t>
  </si>
  <si>
    <t>Binding affinity</t>
  </si>
  <si>
    <t>The strength of binding between two molecules.</t>
  </si>
  <si>
    <t>Affinity guides assay interpretation and drug optimization.</t>
  </si>
  <si>
    <t>An antibody with nanomolar affinity.</t>
  </si>
  <si>
    <t>Kd; ligand; potency</t>
  </si>
  <si>
    <t>High affinity does not guarantee cellular efficacy.</t>
  </si>
  <si>
    <t>Dissociation constant</t>
  </si>
  <si>
    <t>Kd</t>
  </si>
  <si>
    <t>An equilibrium measure of binding affinity; lower values usually indicate tighter binding.</t>
  </si>
  <si>
    <t>Kd enables comparison of molecular interactions.</t>
  </si>
  <si>
    <t>A ligand with a Kd of 10 nM.</t>
  </si>
  <si>
    <t>Affinity; kinetics; occupancy</t>
  </si>
  <si>
    <t>Kd is not EC50 or IC50.</t>
  </si>
  <si>
    <t>Protein abundance</t>
  </si>
  <si>
    <t>The amount of a protein present in a sample.</t>
  </si>
  <si>
    <t>Protein abundance can be closer to function than RNA abundance.</t>
  </si>
  <si>
    <t>Comparing enzyme abundance between conditions.</t>
  </si>
  <si>
    <t>Proteomics; expression; activity</t>
  </si>
  <si>
    <t>Abundance does not necessarily equal activity.</t>
  </si>
  <si>
    <t>Proteome</t>
  </si>
  <si>
    <t>The complete set of proteins present under specified conditions.</t>
  </si>
  <si>
    <t>The proteome changes with cell type, time and environment.</t>
  </si>
  <si>
    <t>The plasma proteome.</t>
  </si>
  <si>
    <t>Protein; proteomics; transcriptome</t>
  </si>
  <si>
    <t>Unlike the genome, it is highly dynamic.</t>
  </si>
  <si>
    <t>Proteomics</t>
  </si>
  <si>
    <t>Large-scale study of proteins, abundance, modification and interactions.</t>
  </si>
  <si>
    <t>Proteomics measures functional states and biomarkers.</t>
  </si>
  <si>
    <t>LC-MS/MS comparison of treated and control samples.</t>
  </si>
  <si>
    <t>Mass spectrometry; peptide; proteome</t>
  </si>
  <si>
    <t>Proteomics is broader than total abundance.</t>
  </si>
  <si>
    <t>Phosphoproteomics</t>
  </si>
  <si>
    <t>Large-scale measurement of protein phosphorylation sites.</t>
  </si>
  <si>
    <t>It reveals active signaling changes missed by total proteomics.</t>
  </si>
  <si>
    <t>Mapping kinase signaling after treatment.</t>
  </si>
  <si>
    <t>Proteomics; phosphorylation; kinase</t>
  </si>
  <si>
    <t>Changes can reflect site occupancy or protein abundance.</t>
  </si>
  <si>
    <t>Transcriptome</t>
  </si>
  <si>
    <t>Omics</t>
  </si>
  <si>
    <t>The full set of RNA transcripts under specified conditions.</t>
  </si>
  <si>
    <t>It provides a dynamic view of gene activity.</t>
  </si>
  <si>
    <t>The transcriptome of activated T cells.</t>
  </si>
  <si>
    <t>RNA-seq; transcript; expression</t>
  </si>
  <si>
    <t>It changes across cells and time.</t>
  </si>
  <si>
    <t>https://www.ebi.ac.uk/training/online/</t>
  </si>
  <si>
    <t>Large-scale study of RNA transcripts and their abundance or structure.</t>
  </si>
  <si>
    <t>It reveals cell states and responses.</t>
  </si>
  <si>
    <t>RNA-seq of tumor and normal tissue.</t>
  </si>
  <si>
    <t>RNA-seq; DE; transcriptome</t>
  </si>
  <si>
    <t>Gene counts do not capture every RNA phenomenon.</t>
  </si>
  <si>
    <t>Epigenome</t>
  </si>
  <si>
    <t>Genome-wide patterns of chromatin state and epigenetic modifications.</t>
  </si>
  <si>
    <t>It explains how identical DNA supports different cell identities.</t>
  </si>
  <si>
    <t>Cell-type-specific methylation and histone marks.</t>
  </si>
  <si>
    <t>Chromatin; epigenetics; regulation</t>
  </si>
  <si>
    <t>There is no single fixed epigenome.</t>
  </si>
  <si>
    <t>Epigenomics</t>
  </si>
  <si>
    <t>Genome-scale study of chromatin, methylation and other epigenetic features.</t>
  </si>
  <si>
    <t>It maps regulatory states and disease changes.</t>
  </si>
  <si>
    <t>ATAC-seq plus ChIP-seq.</t>
  </si>
  <si>
    <t>Epigenome; ATAC-seq; ChIP-seq</t>
  </si>
  <si>
    <t>Different assays capture different layers.</t>
  </si>
  <si>
    <t>Metabolome</t>
  </si>
  <si>
    <t>The complete set of small-molecule metabolites under specified conditions.</t>
  </si>
  <si>
    <t>It reflects biochemical activity and environment.</t>
  </si>
  <si>
    <t>Plasma metabolites after fasting.</t>
  </si>
  <si>
    <t>Metabolite; metabolism; metabolomics</t>
  </si>
  <si>
    <t>Sample handling can rapidly change it.</t>
  </si>
  <si>
    <t>Metabolomics</t>
  </si>
  <si>
    <t>Large-scale measurement and analysis of metabolites.</t>
  </si>
  <si>
    <t>It provides a close readout of phenotype and pathway activity.</t>
  </si>
  <si>
    <t>LC-MS analysis of serum metabolites.</t>
  </si>
  <si>
    <t>Mass spectrometry; NMR; metabolism</t>
  </si>
  <si>
    <t>Metabolite identification can remain uncertain.</t>
  </si>
  <si>
    <t>Lipidomics</t>
  </si>
  <si>
    <t>Large-scale study of lipids and lipid pathways.</t>
  </si>
  <si>
    <t>Lipids are central to membranes, signaling and metabolism.</t>
  </si>
  <si>
    <t>Profiling phospholipids in plasma.</t>
  </si>
  <si>
    <t>Metabolomics; lipid; MS</t>
  </si>
  <si>
    <t>Lipid classes contain similar molecules.</t>
  </si>
  <si>
    <t>Multi-omics</t>
  </si>
  <si>
    <t>Integrated analysis of two or more omics layers.</t>
  </si>
  <si>
    <t>It connects genomic causes, regulation and functional outcomes.</t>
  </si>
  <si>
    <t>Combining RNA-seq, proteomics and metabolomics.</t>
  </si>
  <si>
    <t>Integration; systems biology; omics</t>
  </si>
  <si>
    <t>Collecting several datasets is not automatically integrated analysis.</t>
  </si>
  <si>
    <t>Single-cell analysis</t>
  </si>
  <si>
    <t>Measurement and analysis of individual cells rather than bulk averages.</t>
  </si>
  <si>
    <t>It reveals rare populations and heterogeneity.</t>
  </si>
  <si>
    <t>Single-cell RNA-seq of a tumor.</t>
  </si>
  <si>
    <t>Cell type; heterogeneity; scRNA-seq</t>
  </si>
  <si>
    <t>Single-cell data is often sparse and noisy.</t>
  </si>
  <si>
    <t>Spatial omics</t>
  </si>
  <si>
    <t>Omics measurements preserving the location of molecules or cells in tissue.</t>
  </si>
  <si>
    <t>Spatial context links molecular state to tissue architecture.</t>
  </si>
  <si>
    <t>Spatial transcriptomics in a tumor section.</t>
  </si>
  <si>
    <t>Tissue; imaging; single-cell</t>
  </si>
  <si>
    <t>Resolution and molecular coverage trade off.</t>
  </si>
  <si>
    <t>Bulk analysis</t>
  </si>
  <si>
    <t>Measurement of pooled material from many cells or molecules.</t>
  </si>
  <si>
    <t>Bulk assays are robust but average heterogeneous populations.</t>
  </si>
  <si>
    <t>Bulk RNA-seq from a biopsy.</t>
  </si>
  <si>
    <t>Single-cell; mixture; deconvolution</t>
  </si>
  <si>
    <t>A bulk signal may reflect cell composition.</t>
  </si>
  <si>
    <t>Metagenomics</t>
  </si>
  <si>
    <t>Analysis of genetic material directly from a mixed microbial community.</t>
  </si>
  <si>
    <t>It enables study of uncultured organisms and community functions.</t>
  </si>
  <si>
    <t>Shotgun sequencing of stool.</t>
  </si>
  <si>
    <t>Microbiome; taxonomy; sequencing</t>
  </si>
  <si>
    <t>It differs from sequencing one isolated organism.</t>
  </si>
  <si>
    <t>Systems biology</t>
  </si>
  <si>
    <t>Study of biological systems as interacting networks rather than isolated components.</t>
  </si>
  <si>
    <t>It supports mechanistic integration across scales.</t>
  </si>
  <si>
    <t>Modeling a signaling network under perturbation.</t>
  </si>
  <si>
    <t>Network; pathway; multi-omics</t>
  </si>
  <si>
    <t>Models are abstractions with assumptions.</t>
  </si>
  <si>
    <t>Bioinformatics</t>
  </si>
  <si>
    <t>Bioinformatics &amp; Data Science</t>
  </si>
  <si>
    <t>Use of computational methods to store, process and interpret biological data.</t>
  </si>
  <si>
    <t>Modern genomics and multi-omics depend on it.</t>
  </si>
  <si>
    <t>Processing RNA-seq reads and testing differential expression.</t>
  </si>
  <si>
    <t>Computational biology; pipeline; database</t>
  </si>
  <si>
    <t>It overlaps with computational biology but is not identical.</t>
  </si>
  <si>
    <t>Computational biology</t>
  </si>
  <si>
    <t>Use and development of mathematical or computational models for biological questions.</t>
  </si>
  <si>
    <t>It turns hypotheses into analyzable models and predictions.</t>
  </si>
  <si>
    <t>Simulating a regulatory network.</t>
  </si>
  <si>
    <t>Bioinformatics; modeling; systems biology</t>
  </si>
  <si>
    <t>Often emphasizes models more than data operations.</t>
  </si>
  <si>
    <t>Algorithm</t>
  </si>
  <si>
    <t>A defined sequence of computational steps for solving a problem.</t>
  </si>
  <si>
    <t>Every pipeline embeds algorithmic assumptions.</t>
  </si>
  <si>
    <t>An aligner mapping reads.</t>
  </si>
  <si>
    <t>Software; model; pipeline</t>
  </si>
  <si>
    <t>An algorithm is not the same as one implementation.</t>
  </si>
  <si>
    <t>An ordered series of computational or experimental processing steps.</t>
  </si>
  <si>
    <t>Pipelines make complex analyses repeatable.</t>
  </si>
  <si>
    <t>QC, alignment, counting and differential expression.</t>
  </si>
  <si>
    <t>Workflow; parameter; provenance</t>
  </si>
  <si>
    <t>A pipeline is not reproducible without controlled inputs and versions.</t>
  </si>
  <si>
    <t>Workflow</t>
  </si>
  <si>
    <t>A structured sequence of tasks, decisions, transformations and handoffs.</t>
  </si>
  <si>
    <t>Scientific work includes automation and human judgment.</t>
  </si>
  <si>
    <t>A sample moving from collection to analysis.</t>
  </si>
  <si>
    <t>Pipeline; protocol; process</t>
  </si>
  <si>
    <t>A workflow is broader than a computational pipeline.</t>
  </si>
  <si>
    <t>Raw data</t>
  </si>
  <si>
    <t>Data in original or minimally processed form from a source or instrument.</t>
  </si>
  <si>
    <t>Raw data is needed for traceability and reanalysis.</t>
  </si>
  <si>
    <t>FASTQ files from a sequencer.</t>
  </si>
  <si>
    <t>Processed data; metadata; provenance</t>
  </si>
  <si>
    <t>Raw may still include instrument transformations.</t>
  </si>
  <si>
    <t>Processed data</t>
  </si>
  <si>
    <t>Data transformed through cleaning, normalization or analysis.</t>
  </si>
  <si>
    <t>It enables interpretation but depends on methods.</t>
  </si>
  <si>
    <t>A gene-count matrix from FASTQ files.</t>
  </si>
  <si>
    <t>Raw data; derived data; pipeline</t>
  </si>
  <si>
    <t>Processed does not mean final or correct.</t>
  </si>
  <si>
    <t>Information describing data, samples, experiments, files or processes.</t>
  </si>
  <si>
    <t>Good metadata makes results searchable and reusable.</t>
  </si>
  <si>
    <t>Species, treatment, batch and instrument.</t>
  </si>
  <si>
    <t>Ontology; provenance; schema</t>
  </si>
  <si>
    <t>A filename alone is inadequate metadata.</t>
  </si>
  <si>
    <t>Schema</t>
  </si>
  <si>
    <t>A formal structure defining fields, types, relationships and constraints.</t>
  </si>
  <si>
    <t>Schemas make data consistent and machine-readable.</t>
  </si>
  <si>
    <t>A sample table requiring species and collection date.</t>
  </si>
  <si>
    <t>Data model; database; validation</t>
  </si>
  <si>
    <t>Structure does not guarantee shared meaning.</t>
  </si>
  <si>
    <t>Data model</t>
  </si>
  <si>
    <t>A representation of entities, attributes and relationships.</t>
  </si>
  <si>
    <t>A good model preserves scientific context across tools and time.</t>
  </si>
  <si>
    <t>Projects linked to studies, samples and analyses.</t>
  </si>
  <si>
    <t>Schema; ontology; knowledge graph</t>
  </si>
  <si>
    <t>A model is not the same as a database implementation.</t>
  </si>
  <si>
    <t>Identifier</t>
  </si>
  <si>
    <t>A label uniquely referring to an entity within a defined scope.</t>
  </si>
  <si>
    <t>Stable identifiers prevent ambiguity and broken links.</t>
  </si>
  <si>
    <t>A sample ID or UniProt accession.</t>
  </si>
  <si>
    <t>Accession; namespace; PID</t>
  </si>
  <si>
    <t>The same text can mean different things in different namespaces.</t>
  </si>
  <si>
    <t>Ontology</t>
  </si>
  <si>
    <t>A formal shared representation of concepts and relationships.</t>
  </si>
  <si>
    <t>Ontologies make biological data interoperable and computable.</t>
  </si>
  <si>
    <t>Gene Ontology terms for molecular function.</t>
  </si>
  <si>
    <t>Vocabulary; taxonomy; knowledge graph</t>
  </si>
  <si>
    <t>An ontology is more than a term list.</t>
  </si>
  <si>
    <t>Controlled vocabulary</t>
  </si>
  <si>
    <t>An approved set of terms used consistently for annotation.</t>
  </si>
  <si>
    <t>It reduces spelling variation and ambiguity.</t>
  </si>
  <si>
    <t>Predefined disease or assay terms.</t>
  </si>
  <si>
    <t>Ontology; taxonomy; standard</t>
  </si>
  <si>
    <t>It may lack formal relationships.</t>
  </si>
  <si>
    <t>Knowledge graph</t>
  </si>
  <si>
    <t>KG</t>
  </si>
  <si>
    <t>A network of entities and typed relationships with semantics and provenance.</t>
  </si>
  <si>
    <t>Knowledge graphs connect dispersed evidence.</t>
  </si>
  <si>
    <t>Linking a gene to pathway, disease, experiment and paper.</t>
  </si>
  <si>
    <t>Ontology; graph database; entity</t>
  </si>
  <si>
    <t>A graph picture alone is not a knowledge graph.</t>
  </si>
  <si>
    <t>Database</t>
  </si>
  <si>
    <t>DB</t>
  </si>
  <si>
    <t>An organized system for storing and retrieving data.</t>
  </si>
  <si>
    <t>Labs depend on databases for samples, results and operations.</t>
  </si>
  <si>
    <t>A relational database storing experiments.</t>
  </si>
  <si>
    <t>Table; query; schema</t>
  </si>
  <si>
    <t>A spreadsheet is not automatically a controlled database.</t>
  </si>
  <si>
    <t>Application programming interface</t>
  </si>
  <si>
    <t>API</t>
  </si>
  <si>
    <t>A defined interface through which software systems exchange requests and data.</t>
  </si>
  <si>
    <t>APIs connect instruments, databases and platforms.</t>
  </si>
  <si>
    <t>Fetching protein annotations.</t>
  </si>
  <si>
    <t>Integration; endpoint; JSON</t>
  </si>
  <si>
    <t>An API is a contract, not a guarantee of data quality.</t>
  </si>
  <si>
    <t>Data integration</t>
  </si>
  <si>
    <t>Combining data from different sources into a coherent representation or analysis.</t>
  </si>
  <si>
    <t>Research data is fragmented across tools and files.</t>
  </si>
  <si>
    <t>Joining sample metadata with RNA-seq results.</t>
  </si>
  <si>
    <t>ETL; harmonization; interoperability</t>
  </si>
  <si>
    <t>Integration is more than copying files.</t>
  </si>
  <si>
    <t>Interoperability</t>
  </si>
  <si>
    <t>The ability of systems and data to exchange information and use it meaningfully.</t>
  </si>
  <si>
    <t>It reduces manual re-entry and vendor lock-in.</t>
  </si>
  <si>
    <t>A LIMS exporting standardized metadata.</t>
  </si>
  <si>
    <t>Standards; API; ontology</t>
  </si>
  <si>
    <t>Connectivity alone is not semantic interoperability.</t>
  </si>
  <si>
    <t>Ability to obtain consistent results using the same data, methods and conditions.</t>
  </si>
  <si>
    <t>It is fundamental to trustworthy science.</t>
  </si>
  <si>
    <t>Rerunning analysis from versioned code and inputs.</t>
  </si>
  <si>
    <t>Replicability; provenance; version control</t>
  </si>
  <si>
    <t>Definitions differ between fields.</t>
  </si>
  <si>
    <t>Replicability</t>
  </si>
  <si>
    <t>Ability to obtain consistent findings in a new experiment or dataset.</t>
  </si>
  <si>
    <t>Replication tests whether a finding generalizes.</t>
  </si>
  <si>
    <t>Repeating an experiment with an independent cohort.</t>
  </si>
  <si>
    <t>Reproducibility; validation; robustness</t>
  </si>
  <si>
    <t>Terminology varies, so define usage.</t>
  </si>
  <si>
    <t>A record of where data or knowledge came from and how it changed.</t>
  </si>
  <si>
    <t>It enables trust, audit, debugging and reuse.</t>
  </si>
  <si>
    <t>Linking a figure to code, inputs and parameters.</t>
  </si>
  <si>
    <t>Lineage; audit trail; metadata</t>
  </si>
  <si>
    <t>A timestamp alone is incomplete provenance.</t>
  </si>
  <si>
    <t>Data lineage</t>
  </si>
  <si>
    <t>The chain from source data through transformations to derived outputs.</t>
  </si>
  <si>
    <t>It allows impact analysis and reconstruction.</t>
  </si>
  <si>
    <t>FASTQ to BAM to counts to figure.</t>
  </si>
  <si>
    <t>Provenance; pipeline; derived data</t>
  </si>
  <si>
    <t>Lineage is narrower than full provenance.</t>
  </si>
  <si>
    <t>Version control</t>
  </si>
  <si>
    <t>A system tracking and managing file or code changes over time.</t>
  </si>
  <si>
    <t>It prevents lost work and makes evolution auditable.</t>
  </si>
  <si>
    <t>Git tracking an analysis script.</t>
  </si>
  <si>
    <t>Commit; branch; reproducibility</t>
  </si>
  <si>
    <t>Cloud sync is not version control.</t>
  </si>
  <si>
    <t>Container</t>
  </si>
  <si>
    <t>A packaged software environment containing an application and dependencies.</t>
  </si>
  <si>
    <t>Containers improve portability and computational reproducibility.</t>
  </si>
  <si>
    <t>Running a workflow in Docker.</t>
  </si>
  <si>
    <t>Environment; dependency; image</t>
  </si>
  <si>
    <t>Containers do not preserve inputs and parameters automatically.</t>
  </si>
  <si>
    <t>FAIR data</t>
  </si>
  <si>
    <t>FAIR</t>
  </si>
  <si>
    <t>Data managed to be findable, accessible, interoperable and reusable.</t>
  </si>
  <si>
    <t>FAIR principles guide durable scientific data management.</t>
  </si>
  <si>
    <t>A dataset with IDs, metadata and access rules.</t>
  </si>
  <si>
    <t>Metadata; interoperability; reuse</t>
  </si>
  <si>
    <t>FAIR does not necessarily mean open.</t>
  </si>
  <si>
    <t>Data normalization</t>
  </si>
  <si>
    <t>A transformation intended to make measurements comparable.</t>
  </si>
  <si>
    <t>Technical scale differences can obscure biology.</t>
  </si>
  <si>
    <t>Library-size normalization of RNA-seq counts.</t>
  </si>
  <si>
    <t>Scaling; batch effect; preprocessing</t>
  </si>
  <si>
    <t>Method must match the data-generating process.</t>
  </si>
  <si>
    <t>Batch effect</t>
  </si>
  <si>
    <t>Systematic variation caused by processing groups rather than biology.</t>
  </si>
  <si>
    <t>Batch effects can produce false conclusions.</t>
  </si>
  <si>
    <t>Samples sequenced on different days clustering apart.</t>
  </si>
  <si>
    <t>Confounding; normalization; randomization</t>
  </si>
  <si>
    <t>Correction can remove real biology if design is confounded.</t>
  </si>
  <si>
    <t>Confounder</t>
  </si>
  <si>
    <t>A variable related to both exposure and outcome that distorts their relationship.</t>
  </si>
  <si>
    <t>Confounding can invalidate conclusions.</t>
  </si>
  <si>
    <t>Treatment groups processed in different batches.</t>
  </si>
  <si>
    <t>Covariate; bias; causality</t>
  </si>
  <si>
    <t>A correlated variable is not always a confounder.</t>
  </si>
  <si>
    <t>Feature</t>
  </si>
  <si>
    <t>A measurable variable used in analysis or modeling.</t>
  </si>
  <si>
    <t>Features define what an algorithm can learn.</t>
  </si>
  <si>
    <t>Gene expression, age or image texture.</t>
  </si>
  <si>
    <t>Observation; variable; engineering</t>
  </si>
  <si>
    <t>One entity can generate several features.</t>
  </si>
  <si>
    <t>Dimensionality reduction</t>
  </si>
  <si>
    <t>Representing high-dimensional data with fewer variables while preserving selected structure.</t>
  </si>
  <si>
    <t>It enables visualization and denoising.</t>
  </si>
  <si>
    <t>PCA or UMAP of single-cell data.</t>
  </si>
  <si>
    <t>PCA; UMAP; embedding</t>
  </si>
  <si>
    <t>Visual clusters can depend strongly on parameters.</t>
  </si>
  <si>
    <t>Principal component analysis</t>
  </si>
  <si>
    <t>PCA</t>
  </si>
  <si>
    <t>A linear method finding directions of maximal variance.</t>
  </si>
  <si>
    <t>PCA reveals dominant variation, outliers and batch effects.</t>
  </si>
  <si>
    <t>Plotting samples on the first two components.</t>
  </si>
  <si>
    <t>Dimensionality reduction; loading; variance</t>
  </si>
  <si>
    <t>Components are not automatically biological factors.</t>
  </si>
  <si>
    <t>Uniform Manifold Approximation and Projection</t>
  </si>
  <si>
    <t>UMAP</t>
  </si>
  <si>
    <t>A non-linear embedding emphasizing local neighborhood structure.</t>
  </si>
  <si>
    <t>UMAP is widely used for high-dimensional visualization.</t>
  </si>
  <si>
    <t>Visualizing cell populations.</t>
  </si>
  <si>
    <t>t-SNE; embedding; clustering</t>
  </si>
  <si>
    <t>Distances and shapes should not be overinterpreted.</t>
  </si>
  <si>
    <t>Clustering</t>
  </si>
  <si>
    <t>Unsupervised grouping based on a chosen similarity measure.</t>
  </si>
  <si>
    <t>It can reveal cell types or sample groups.</t>
  </si>
  <si>
    <t>Grouping cells by expression.</t>
  </si>
  <si>
    <t>Unsupervised learning; distance; cluster</t>
  </si>
  <si>
    <t>Results depend on preprocessing and parameters.</t>
  </si>
  <si>
    <t>Classification</t>
  </si>
  <si>
    <t>A supervised task assigning observations to predefined categories.</t>
  </si>
  <si>
    <t>It supports diagnosis, annotation and prediction.</t>
  </si>
  <si>
    <t>Predicting tumor subtype.</t>
  </si>
  <si>
    <t>Supervised learning; label; classifier</t>
  </si>
  <si>
    <t>Training accuracy does not guarantee generalization.</t>
  </si>
  <si>
    <t>Regression</t>
  </si>
  <si>
    <t>A statistical or ML task modeling a continuous outcome or relationship.</t>
  </si>
  <si>
    <t>It estimates effects and makes quantitative predictions.</t>
  </si>
  <si>
    <t>Predicting drug response values.</t>
  </si>
  <si>
    <t>Linear model; coefficient; prediction</t>
  </si>
  <si>
    <t>Regression includes more than simple linear models.</t>
  </si>
  <si>
    <t>Correlation</t>
  </si>
  <si>
    <t>A measure of how two variables vary together.</t>
  </si>
  <si>
    <t>It helps explore relationships.</t>
  </si>
  <si>
    <t>Gene expression correlated with protein abundance.</t>
  </si>
  <si>
    <t>Association; covariance; causation</t>
  </si>
  <si>
    <t>Correlation does not establish causation.</t>
  </si>
  <si>
    <t>Hypothesis test</t>
  </si>
  <si>
    <t>A statistical procedure evaluating evidence against a null hypothesis.</t>
  </si>
  <si>
    <t>It quantifies uncertainty in comparisons.</t>
  </si>
  <si>
    <t>Testing whether treatment changes expression.</t>
  </si>
  <si>
    <t>Null hypothesis; p-value; CI</t>
  </si>
  <si>
    <t>A p-value is not the probability a hypothesis is true.</t>
  </si>
  <si>
    <t>P-value</t>
  </si>
  <si>
    <t>The probability, under a null model, of observing data at least as extreme as obtained.</t>
  </si>
  <si>
    <t>It is widely used to quantify statistical evidence.</t>
  </si>
  <si>
    <t>A differential-expression p-value.</t>
  </si>
  <si>
    <t>Hypothesis test; significance; FDR</t>
  </si>
  <si>
    <t>It is not the probability the null is true.</t>
  </si>
  <si>
    <t>False discovery rate</t>
  </si>
  <si>
    <t>FDR</t>
  </si>
  <si>
    <t>The expected proportion of false positives among declared discoveries.</t>
  </si>
  <si>
    <t>It is crucial when testing thousands of features.</t>
  </si>
  <si>
    <t>Benjamini-Hochberg adjusted p-values.</t>
  </si>
  <si>
    <t>Multiple testing; q-value; p-value</t>
  </si>
  <si>
    <t>It is not each result's probability of being false.</t>
  </si>
  <si>
    <t>Effect size</t>
  </si>
  <si>
    <t>A quantitative measure of the magnitude of a difference or relationship.</t>
  </si>
  <si>
    <t>It communicates biological importance beyond significance.</t>
  </si>
  <si>
    <t>A two-fold change.</t>
  </si>
  <si>
    <t>Confidence interval; fold change; p-value</t>
  </si>
  <si>
    <t>Large samples can make tiny effects significant.</t>
  </si>
  <si>
    <t>Fold change</t>
  </si>
  <si>
    <t>FC</t>
  </si>
  <si>
    <t>The ratio of a measurement between two conditions.</t>
  </si>
  <si>
    <t>It is a common measure of relative response.</t>
  </si>
  <si>
    <t>Expression increasing from 10 to 20.</t>
  </si>
  <si>
    <t>Log2 fold change; DE; effect size</t>
  </si>
  <si>
    <t>It is unstable near zero and direction must be clear.</t>
  </si>
  <si>
    <t>Confidence interval</t>
  </si>
  <si>
    <t>CI</t>
  </si>
  <si>
    <t>A range expressing uncertainty around an estimated parameter.</t>
  </si>
  <si>
    <t>It communicates precision of an effect estimate.</t>
  </si>
  <si>
    <t>A 95% interval for treatment effect.</t>
  </si>
  <si>
    <t>Effect size; standard error; uncertainty</t>
  </si>
  <si>
    <t>It is not simply a probability statement about one fixed interval.</t>
  </si>
  <si>
    <t>Sensitivity</t>
  </si>
  <si>
    <t>The proportion of true positives correctly identified.</t>
  </si>
  <si>
    <t>It matters when missing positives is costly.</t>
  </si>
  <si>
    <t>A diagnostic detecting 90% of disease cases.</t>
  </si>
  <si>
    <t>Specificity; recall; true positive</t>
  </si>
  <si>
    <t>High sensitivity may reduce specificity.</t>
  </si>
  <si>
    <t>Specificity</t>
  </si>
  <si>
    <t>The proportion of true negatives correctly identified.</t>
  </si>
  <si>
    <t>It matters when false positives are costly.</t>
  </si>
  <si>
    <t>A diagnostic correctly ruling out healthy patients.</t>
  </si>
  <si>
    <t>Sensitivity; false positive; selectivity</t>
  </si>
  <si>
    <t>Analytical selectivity can be a different concept.</t>
  </si>
  <si>
    <t>Accuracy</t>
  </si>
  <si>
    <t>Closeness to truth, or proportion of correct predictions in classification.</t>
  </si>
  <si>
    <t>It summarizes correctness but can mislead with imbalanced data.</t>
  </si>
  <si>
    <t>A model correctly classifying 95% of samples.</t>
  </si>
  <si>
    <t>Precision; bias; balanced accuracy</t>
  </si>
  <si>
    <t>High accuracy can hide rare-class failure.</t>
  </si>
  <si>
    <t>Hypothesis</t>
  </si>
  <si>
    <t>Laboratory &amp; Experimental Design</t>
  </si>
  <si>
    <t>A testable proposed explanation or prediction.</t>
  </si>
  <si>
    <t>Clear hypotheses guide design and interpretation.</t>
  </si>
  <si>
    <t>A compound reduces growth by inhibiting a kinase.</t>
  </si>
  <si>
    <t>Research question; prediction; experiment</t>
  </si>
  <si>
    <t>Exploratory research may not begin with one narrow hypothesis.</t>
  </si>
  <si>
    <t>https://www.oecd.org/chemicalsafety/testing/good-laboratory-practiceglp.htm</t>
  </si>
  <si>
    <t>A controlled investigation designed to generate evidence.</t>
  </si>
  <si>
    <t>Experiments are the operational unit of scientific learning.</t>
  </si>
  <si>
    <t>Treating cells with different concentrations.</t>
  </si>
  <si>
    <t>Protocol; variable; control</t>
  </si>
  <si>
    <t>Not every measurement is a controlled experiment.</t>
  </si>
  <si>
    <t>Protocol</t>
  </si>
  <si>
    <t>Documented instructions for performing a procedure.</t>
  </si>
  <si>
    <t>Protocols improve consistency and reproducibility.</t>
  </si>
  <si>
    <t>A stepwise RNA extraction protocol.</t>
  </si>
  <si>
    <t>Method; SOP; workflow</t>
  </si>
  <si>
    <t>A protocol is more execution-specific than a broad method.</t>
  </si>
  <si>
    <t>Standard operating procedure</t>
  </si>
  <si>
    <t>SOP</t>
  </si>
  <si>
    <t>An approved controlled instruction for a recurring process.</t>
  </si>
  <si>
    <t>SOPs support quality, compliance and reliability.</t>
  </si>
  <si>
    <t>An approved sample-receipt procedure.</t>
  </si>
  <si>
    <t>Protocol; quality system; deviation</t>
  </si>
  <si>
    <t>Not every lab protocol is a controlled SOP.</t>
  </si>
  <si>
    <t>A portion or instance of biological material selected for analysis.</t>
  </si>
  <si>
    <t>Sample identity and provenance determine interpretability.</t>
  </si>
  <si>
    <t>A plasma aliquot from one participant.</t>
  </si>
  <si>
    <t>Specimen; aliquot; biospecimen</t>
  </si>
  <si>
    <t>A sample may be derived from another sample.</t>
  </si>
  <si>
    <t>Specimen</t>
  </si>
  <si>
    <t>Biological material collected from a source before or during processing.</t>
  </si>
  <si>
    <t>Specimen context records donor and anatomical origin.</t>
  </si>
  <si>
    <t>A tumor biopsy.</t>
  </si>
  <si>
    <t>Sample; biospecimen; aliquot</t>
  </si>
  <si>
    <t>Usage varies between organizations.</t>
  </si>
  <si>
    <t>Aliquot</t>
  </si>
  <si>
    <t>A measured portion divided from a larger sample.</t>
  </si>
  <si>
    <t>Aliquoting supports parallel tests and limits freeze-thaw cycles.</t>
  </si>
  <si>
    <t>A 100-microliter serum portion.</t>
  </si>
  <si>
    <t>Sample; volume; lineage</t>
  </si>
  <si>
    <t>Aliquots need their own identifiers.</t>
  </si>
  <si>
    <t>Cohort</t>
  </si>
  <si>
    <t>A defined group of participants, organisms or samples sharing study criteria.</t>
  </si>
  <si>
    <t>Cohort definition determines generalizability.</t>
  </si>
  <si>
    <t>Patients with a cancer subtype.</t>
  </si>
  <si>
    <t>Population; inclusion criteria; longitudinal study</t>
  </si>
  <si>
    <t>A cohort is not necessarily randomized.</t>
  </si>
  <si>
    <t>A comparison condition estimating what happens without the intervention of interest.</t>
  </si>
  <si>
    <t>Controls distinguish treatment effects from background variation.</t>
  </si>
  <si>
    <t>Vehicle-treated cells.</t>
  </si>
  <si>
    <t>Positive control; negative control; baseline</t>
  </si>
  <si>
    <t>A control must match the causal question.</t>
  </si>
  <si>
    <t>Negative control</t>
  </si>
  <si>
    <t>A control expected not to produce the target signal.</t>
  </si>
  <si>
    <t>It reveals contamination, nonspecific effects and background.</t>
  </si>
  <si>
    <t>A no-template PCR reaction.</t>
  </si>
  <si>
    <t>Positive control; blank; control</t>
  </si>
  <si>
    <t>A negative control is not always untreated biology.</t>
  </si>
  <si>
    <t>Positive control</t>
  </si>
  <si>
    <t>A control expected to produce a known response.</t>
  </si>
  <si>
    <t>It confirms that an assay can detect the phenomenon.</t>
  </si>
  <si>
    <t>A known apoptosis-inducing compound.</t>
  </si>
  <si>
    <t>Negative control; validation; control</t>
  </si>
  <si>
    <t>It may not use the same mechanism as the test item.</t>
  </si>
  <si>
    <t>Vehicle control</t>
  </si>
  <si>
    <t>A control receiving the solvent or delivery material without active treatment.</t>
  </si>
  <si>
    <t>It isolates effects of the vehicle.</t>
  </si>
  <si>
    <t>Cells treated with DMSO alone.</t>
  </si>
  <si>
    <t>Control; solvent; treatment</t>
  </si>
  <si>
    <t>The vehicle itself can affect biology.</t>
  </si>
  <si>
    <t>Blank</t>
  </si>
  <si>
    <t>A measurement containing no analyte or biological sample.</t>
  </si>
  <si>
    <t>Blanks estimate technical background or contamination.</t>
  </si>
  <si>
    <t>A solvent blank in mass spectrometry.</t>
  </si>
  <si>
    <t>Negative control; background; contamination</t>
  </si>
  <si>
    <t>A blank and biological negative control answer different questions.</t>
  </si>
  <si>
    <t>Replicate</t>
  </si>
  <si>
    <t>A repeated observation or experimental unit used to assess variability.</t>
  </si>
  <si>
    <t>Replicates support uncertainty estimation.</t>
  </si>
  <si>
    <t>Three independently cultured samples per condition.</t>
  </si>
  <si>
    <t>Biological replicate; technical replicate; sample size</t>
  </si>
  <si>
    <t>Repeated measurement is not always independent replication.</t>
  </si>
  <si>
    <t>An independently derived biological unit representing target-population variability.</t>
  </si>
  <si>
    <t>It supports inference beyond one preparation.</t>
  </si>
  <si>
    <t>Cells from three donors.</t>
  </si>
  <si>
    <t>Technical replicate; independence; sample size</t>
  </si>
  <si>
    <t>Separate wells may not be independent biological replicates.</t>
  </si>
  <si>
    <t>Technical replicate</t>
  </si>
  <si>
    <t>Repeated measurement or processing of the same biological material.</t>
  </si>
  <si>
    <t>It estimates assay and measurement variability.</t>
  </si>
  <si>
    <t>Reading the same sample in triplicate.</t>
  </si>
  <si>
    <t>Biological replicate; repeatability; assay</t>
  </si>
  <si>
    <t>It does not increase independent biological sample size.</t>
  </si>
  <si>
    <t>Randomization</t>
  </si>
  <si>
    <t>Assignment of experimental units using a chance process.</t>
  </si>
  <si>
    <t>It reduces systematic bias and confounding.</t>
  </si>
  <si>
    <t>Randomizing samples across plates.</t>
  </si>
  <si>
    <t>Blinding; batch effect; allocation</t>
  </si>
  <si>
    <t>It cannot repair every bias after the fact.</t>
  </si>
  <si>
    <t>Blinding</t>
  </si>
  <si>
    <t>Keeping relevant people unaware of assigned conditions or outcomes.</t>
  </si>
  <si>
    <t>It reduces expectation and assessment bias.</t>
  </si>
  <si>
    <t>Image analysts unaware of treatment groups.</t>
  </si>
  <si>
    <t>Randomization; bias; masking</t>
  </si>
  <si>
    <t>Different roles can be blinded separately.</t>
  </si>
  <si>
    <t>Independent variable</t>
  </si>
  <si>
    <t>A manipulated factor or predictor in a study.</t>
  </si>
  <si>
    <t>It represents the exposure whose effect is evaluated.</t>
  </si>
  <si>
    <t>Drug concentration.</t>
  </si>
  <si>
    <t>Dependent variable; factor; treatment</t>
  </si>
  <si>
    <t>In observational studies it may not be manipulated.</t>
  </si>
  <si>
    <t>Dependent variable</t>
  </si>
  <si>
    <t>The measured outcome expected to change in relation to a predictor.</t>
  </si>
  <si>
    <t>It defines the evidence generated by an experiment.</t>
  </si>
  <si>
    <t>Cell viability after treatment.</t>
  </si>
  <si>
    <t>Endpoint; response; independent variable</t>
  </si>
  <si>
    <t>A study may have several outcomes.</t>
  </si>
  <si>
    <t>Endpoint</t>
  </si>
  <si>
    <t>A predefined outcome used to evaluate a study.</t>
  </si>
  <si>
    <t>Endpoints connect measurements to decisions.</t>
  </si>
  <si>
    <t>Tumor-volume change at eight weeks.</t>
  </si>
  <si>
    <t>Outcome; biomarker; primary endpoint</t>
  </si>
  <si>
    <t>An endpoint may combine several measurements.</t>
  </si>
  <si>
    <t>Primary endpoint</t>
  </si>
  <si>
    <t>The main predefined outcome evaluating the central objective.</t>
  </si>
  <si>
    <t>It determines design, sample size and success criteria.</t>
  </si>
  <si>
    <t>Progression-free survival.</t>
  </si>
  <si>
    <t>Secondary endpoint; outcome; estimand</t>
  </si>
  <si>
    <t>Post-hoc endpoint changes can bias conclusions.</t>
  </si>
  <si>
    <t>A procedure measuring the presence, amount or activity of a biological entity.</t>
  </si>
  <si>
    <t>Assays convert biology into evidence.</t>
  </si>
  <si>
    <t>An ELISA measuring a cytokine.</t>
  </si>
  <si>
    <t>Readout; analyte; validation</t>
  </si>
  <si>
    <t>An assay includes controls and conditions, not only a reagent.</t>
  </si>
  <si>
    <t>Readout</t>
  </si>
  <si>
    <t>The signal or measurement produced by an assay.</t>
  </si>
  <si>
    <t>Readouts are direct data used to infer effects.</t>
  </si>
  <si>
    <t>Fluorescence intensity or cell count.</t>
  </si>
  <si>
    <t>Assay; endpoint; signal</t>
  </si>
  <si>
    <t>A readout may only be a proxy.</t>
  </si>
  <si>
    <t>Analyte</t>
  </si>
  <si>
    <t>The substance or entity an assay is intended to measure.</t>
  </si>
  <si>
    <t>Defining it clarifies specificity and units.</t>
  </si>
  <si>
    <t>A protein, metabolite or DNA sequence.</t>
  </si>
  <si>
    <t>Assay; biomarker; measurement</t>
  </si>
  <si>
    <t>The measured signal may be indirect.</t>
  </si>
  <si>
    <t>Limit of detection</t>
  </si>
  <si>
    <t>LOD</t>
  </si>
  <si>
    <t>The lowest amount reliably distinguishable from background.</t>
  </si>
  <si>
    <t>It determines whether low signals can be detected.</t>
  </si>
  <si>
    <t>Minimum viral RNA concentration detected.</t>
  </si>
  <si>
    <t>LOQ; sensitivity; background</t>
  </si>
  <si>
    <t>Detection does not mean accurate quantification.</t>
  </si>
  <si>
    <t>Limit of quantification</t>
  </si>
  <si>
    <t>LOQ</t>
  </si>
  <si>
    <t>The lowest amount quantifiable with acceptable performance.</t>
  </si>
  <si>
    <t>It defines the usable lower quantitative range.</t>
  </si>
  <si>
    <t>Lowest metabolite concentration with acceptable precision.</t>
  </si>
  <si>
    <t>LOD; dynamic range; calibration</t>
  </si>
  <si>
    <t>LOQ is generally above LOD.</t>
  </si>
  <si>
    <t>Dynamic range</t>
  </si>
  <si>
    <t>The span over which a measurement system produces useful responses.</t>
  </si>
  <si>
    <t>It prevents saturation and missed low signals.</t>
  </si>
  <si>
    <t>An assay measuring 1–1,000 ng/mL.</t>
  </si>
  <si>
    <t>LOD; saturation; linearity</t>
  </si>
  <si>
    <t>Precision may vary across the range.</t>
  </si>
  <si>
    <t>Calibration curve</t>
  </si>
  <si>
    <t>A relationship between known reference concentrations and measured signals.</t>
  </si>
  <si>
    <t>It converts signal into estimated quantity.</t>
  </si>
  <si>
    <t>Standards used to quantify a metabolite.</t>
  </si>
  <si>
    <t>Standard; regression; quantification</t>
  </si>
  <si>
    <t>Calibration should match matrix and conditions.</t>
  </si>
  <si>
    <t>Quality control</t>
  </si>
  <si>
    <t>QC</t>
  </si>
  <si>
    <t>Operational checks confirming data or processes meet criteria.</t>
  </si>
  <si>
    <t>QC stops unreliable results from entering interpretation.</t>
  </si>
  <si>
    <t>Sequencing depth and contamination checks.</t>
  </si>
  <si>
    <t>QA; acceptance criteria; control</t>
  </si>
  <si>
    <t>QC detects issues; QA builds systems to prevent them.</t>
  </si>
  <si>
    <t>Quality assurance</t>
  </si>
  <si>
    <t>QA</t>
  </si>
  <si>
    <t>The planned system providing confidence that quality requirements will be met.</t>
  </si>
  <si>
    <t>QA establishes governance, training and controlled processes.</t>
  </si>
  <si>
    <t>Document control and audits.</t>
  </si>
  <si>
    <t>QC; QMS; CAPA</t>
  </si>
  <si>
    <t>QA is broader and more preventive than QC.</t>
  </si>
  <si>
    <t>Acceptance criteria</t>
  </si>
  <si>
    <t>Predefined conditions that data, samples or procedures must meet.</t>
  </si>
  <si>
    <t>They make quality decisions explicit.</t>
  </si>
  <si>
    <t>Minimum read depth and maximum contamination.</t>
  </si>
  <si>
    <t>QC; specification; pass/fail</t>
  </si>
  <si>
    <t>Criteria should ideally precede outcome review.</t>
  </si>
  <si>
    <t>Deviation</t>
  </si>
  <si>
    <t>A departure from an approved protocol, SOP or expected condition.</t>
  </si>
  <si>
    <t>Recording deviations preserves interpretability and compliance.</t>
  </si>
  <si>
    <t>A sample stored outside temperature limits.</t>
  </si>
  <si>
    <t>CAPA; protocol; incident</t>
  </si>
  <si>
    <t>A deviation does not always invalidate a result.</t>
  </si>
  <si>
    <t>Chain of custody</t>
  </si>
  <si>
    <t>A documented history of possession, transfer and handling.</t>
  </si>
  <si>
    <t>It protects identity and integrity.</t>
  </si>
  <si>
    <t>Tracking a specimen from collection to testing.</t>
  </si>
  <si>
    <t>Provenance; tracking; audit trail</t>
  </si>
  <si>
    <t>It is narrower than complete scientific provenance.</t>
  </si>
  <si>
    <t>Biosafety level</t>
  </si>
  <si>
    <t>BSL</t>
  </si>
  <si>
    <t>A containment classification for handling biological agents.</t>
  </si>
  <si>
    <t>BSL requirements protect people and environment.</t>
  </si>
  <si>
    <t>BSL-2 handling of many human materials.</t>
  </si>
  <si>
    <t>Containment; pathogen; risk</t>
  </si>
  <si>
    <t>The correct level depends on agent and procedure.</t>
  </si>
  <si>
    <t>Good Laboratory Practice</t>
  </si>
  <si>
    <t>GLP</t>
  </si>
  <si>
    <t>A quality framework for non-clinical safety studies.</t>
  </si>
  <si>
    <t>GLP supports reliable and auditable regulatory studies.</t>
  </si>
  <si>
    <t>A toxicology study conducted under GLP.</t>
  </si>
  <si>
    <t>GxP; SOP; audit</t>
  </si>
  <si>
    <t>Academic research is not automatically GLP-compliant.</t>
  </si>
  <si>
    <t>Good Manufacturing Practice</t>
  </si>
  <si>
    <t>GMP</t>
  </si>
  <si>
    <t>A quality framework ensuring consistent manufacturing and control.</t>
  </si>
  <si>
    <t>GMP is essential for therapeutic production.</t>
  </si>
  <si>
    <t>Manufacturing a biologic under controlled conditions.</t>
  </si>
  <si>
    <t>GxP; batch record; validation</t>
  </si>
  <si>
    <t>GMP governs manufacturing, not all discovery research.</t>
  </si>
  <si>
    <t>Good Clinical Practice</t>
  </si>
  <si>
    <t>GCP</t>
  </si>
  <si>
    <t>An ethical and scientific quality standard for human clinical trials.</t>
  </si>
  <si>
    <t>GCP protects participants and data credibility.</t>
  </si>
  <si>
    <t>Consent, monitoring and protocol compliance.</t>
  </si>
  <si>
    <t>Clinical trial; consent; GxP</t>
  </si>
  <si>
    <t>GCP is distinct from routine clinical care.</t>
  </si>
  <si>
    <t>Drug Discovery &amp; Development</t>
  </si>
  <si>
    <t>A biological entity whose modulation is expected to produce therapeutic benefit.</t>
  </si>
  <si>
    <t>Target selection shapes an entire discovery program.</t>
  </si>
  <si>
    <t>A disease-associated kinase.</t>
  </si>
  <si>
    <t>MoA; drug; pathway</t>
  </si>
  <si>
    <t>Association evidence alone may not validate a target.</t>
  </si>
  <si>
    <t>https://www.fda.gov/</t>
  </si>
  <si>
    <t>Target identification</t>
  </si>
  <si>
    <t>The process of finding potentially actionable biological entities.</t>
  </si>
  <si>
    <t>It links disease biology to intervention opportunities.</t>
  </si>
  <si>
    <t>Using genetics to nominate a receptor.</t>
  </si>
  <si>
    <t>Target validation; disease mechanism; omics</t>
  </si>
  <si>
    <t>Identification is not proof.</t>
  </si>
  <si>
    <t>Target validation</t>
  </si>
  <si>
    <t>Generating evidence that modulating a target affects a relevant phenotype.</t>
  </si>
  <si>
    <t>It reduces biological risk.</t>
  </si>
  <si>
    <t>CRISPR knockout and rescue experiments.</t>
  </si>
  <si>
    <t>Target identification; perturbation; model</t>
  </si>
  <si>
    <t>No single assay fully validates a target.</t>
  </si>
  <si>
    <t>Hit</t>
  </si>
  <si>
    <t>A compound or modality showing activity above a screen threshold.</t>
  </si>
  <si>
    <t>Hits are starting points for confirmation and optimization.</t>
  </si>
  <si>
    <t>A compound reducing enzyme activity by 60%.</t>
  </si>
  <si>
    <t>Screening; confirmation; lead</t>
  </si>
  <si>
    <t>A hit may be an artifact.</t>
  </si>
  <si>
    <t>Lead compound</t>
  </si>
  <si>
    <t>A promising molecule selected for optimization.</t>
  </si>
  <si>
    <t>Leads balance activity with developability.</t>
  </si>
  <si>
    <t>An inhibitor with cellular activity.</t>
  </si>
  <si>
    <t>Hit; optimization; candidate</t>
  </si>
  <si>
    <t>A lead is not yet a clinical candidate.</t>
  </si>
  <si>
    <t>Lead optimization</t>
  </si>
  <si>
    <t>Iterative improvement of potency, selectivity, PK, safety and manufacturability.</t>
  </si>
  <si>
    <t>It transforms hits into viable candidates.</t>
  </si>
  <si>
    <t>Medicinal-chemistry cycles guided by assays.</t>
  </si>
  <si>
    <t>SAR; ADME; potency</t>
  </si>
  <si>
    <t>Improving one property can worsen another.</t>
  </si>
  <si>
    <t>Development candidate</t>
  </si>
  <si>
    <t>A molecule formally selected for advanced preclinical development.</t>
  </si>
  <si>
    <t>Candidate selection commits major resources.</t>
  </si>
  <si>
    <t>A drug nominated for IND-enabling studies.</t>
  </si>
  <si>
    <t>Lead; preclinical; candidate profile</t>
  </si>
  <si>
    <t>Selection criteria vary by modality.</t>
  </si>
  <si>
    <t>Small molecule</t>
  </si>
  <si>
    <t>A relatively low-molecular-weight chemical therapeutic.</t>
  </si>
  <si>
    <t>Small molecules can often enter cells and be orally administered.</t>
  </si>
  <si>
    <t>A kinase inhibitor tablet.</t>
  </si>
  <si>
    <t>Modality; chemistry; compound</t>
  </si>
  <si>
    <t>Small does not mean biologically simple.</t>
  </si>
  <si>
    <t>Biologic</t>
  </si>
  <si>
    <t>A therapeutic produced from living systems or made of biological macromolecules.</t>
  </si>
  <si>
    <t>Biologics include antibodies and proteins.</t>
  </si>
  <si>
    <t>A monoclonal antibody.</t>
  </si>
  <si>
    <t>Antibody; protein therapeutic; biosimilar</t>
  </si>
  <si>
    <t>Regulatory definitions vary.</t>
  </si>
  <si>
    <t>Monoclonal antibody</t>
  </si>
  <si>
    <t>mAb</t>
  </si>
  <si>
    <t>An antibody product designed to bind a specific target.</t>
  </si>
  <si>
    <t>Monoclonal antibodies are a major therapeutic class.</t>
  </si>
  <si>
    <t>An immune-checkpoint antibody.</t>
  </si>
  <si>
    <t>Biologic; antigen; affinity</t>
  </si>
  <si>
    <t>Specific binding does not guarantee desired function.</t>
  </si>
  <si>
    <t>Antigen</t>
  </si>
  <si>
    <t>A molecule recognized by an antibody or immune receptor.</t>
  </si>
  <si>
    <t>Antigens are central to vaccines and antibody therapies.</t>
  </si>
  <si>
    <t>A viral surface protein.</t>
  </si>
  <si>
    <t>Antibody; epitope; immune response</t>
  </si>
  <si>
    <t>An antigen can contain several epitopes.</t>
  </si>
  <si>
    <t>Epitope</t>
  </si>
  <si>
    <t>The specific antigen region recognized by an antibody or receptor.</t>
  </si>
  <si>
    <t>Epitope choice affects specificity and cross-reactivity.</t>
  </si>
  <si>
    <t>An antibody binding one receptor surface.</t>
  </si>
  <si>
    <t>Antigen; antibody; binding site</t>
  </si>
  <si>
    <t>Different antibodies can target different epitopes.</t>
  </si>
  <si>
    <t>Drug modality</t>
  </si>
  <si>
    <t>The technological class through which a therapy acts.</t>
  </si>
  <si>
    <t>Modality determines discovery, delivery, manufacturing and risk.</t>
  </si>
  <si>
    <t>Small molecule, antibody, RNA or cell therapy.</t>
  </si>
  <si>
    <t>Platform; mechanism; delivery</t>
  </si>
  <si>
    <t>One target may support several modalities.</t>
  </si>
  <si>
    <t>Gene therapy</t>
  </si>
  <si>
    <t>A therapy adding, replacing, removing or modifying genetic material.</t>
  </si>
  <si>
    <t>It can address disease at its genetic source.</t>
  </si>
  <si>
    <t>Delivering a functional gene with a viral vector.</t>
  </si>
  <si>
    <t>Genome editing; vector; delivery</t>
  </si>
  <si>
    <t>It includes more than permanent genome editing.</t>
  </si>
  <si>
    <t>Cell therapy</t>
  </si>
  <si>
    <t>A treatment involving living cells with therapeutic activity.</t>
  </si>
  <si>
    <t>Cell therapies can replace or redirect biological functions.</t>
  </si>
  <si>
    <t>CAR-T cells targeting cancer.</t>
  </si>
  <si>
    <t>Gene therapy; immune cell; manufacturing</t>
  </si>
  <si>
    <t>Identity and manufacturing are complex.</t>
  </si>
  <si>
    <t>RNA therapeutic</t>
  </si>
  <si>
    <t>A therapy using RNA to alter protein production or cellular function.</t>
  </si>
  <si>
    <t>RNA can target genes difficult for conventional drugs.</t>
  </si>
  <si>
    <t>mRNA vaccine or siRNA therapy.</t>
  </si>
  <si>
    <t>mRNA; siRNA; delivery</t>
  </si>
  <si>
    <t>Stability and delivery are major constraints.</t>
  </si>
  <si>
    <t>MoA</t>
  </si>
  <si>
    <t>The biological process through which an intervention produces its effect.</t>
  </si>
  <si>
    <t>Mechanistic understanding supports efficacy and safety.</t>
  </si>
  <si>
    <t>A drug inhibits a kinase and downstream signaling.</t>
  </si>
  <si>
    <t>Target; pathway; pharmacology</t>
  </si>
  <si>
    <t>A target interaction is only part of a complete mechanism.</t>
  </si>
  <si>
    <t>Pharmacology</t>
  </si>
  <si>
    <t>The study of drug interactions with biological systems.</t>
  </si>
  <si>
    <t>It connects exposure, target engagement and response.</t>
  </si>
  <si>
    <t>Measuring dose-dependent receptor inhibition.</t>
  </si>
  <si>
    <t>PD; PK; potency</t>
  </si>
  <si>
    <t>It includes beneficial and adverse effects.</t>
  </si>
  <si>
    <t>Pharmacodynamics</t>
  </si>
  <si>
    <t>PD</t>
  </si>
  <si>
    <t>The effects of a drug on the biological system.</t>
  </si>
  <si>
    <t>PD shows whether exposure produces intended biological change.</t>
  </si>
  <si>
    <t>Reduction of a pathway biomarker.</t>
  </si>
  <si>
    <t>PK; biomarker; dose-response</t>
  </si>
  <si>
    <t>PD is what drug does to system.</t>
  </si>
  <si>
    <t>Pharmacokinetics</t>
  </si>
  <si>
    <t>PK</t>
  </si>
  <si>
    <t>The time course of drug absorption, distribution, metabolism and excretion.</t>
  </si>
  <si>
    <t>PK determines exposure and dosing.</t>
  </si>
  <si>
    <t>Measuring plasma concentration over time.</t>
  </si>
  <si>
    <t>ADME; half-life; clearance</t>
  </si>
  <si>
    <t>Plasma exposure may differ from tissue exposure.</t>
  </si>
  <si>
    <t>Absorption, distribution, metabolism and excretion</t>
  </si>
  <si>
    <t>ADME</t>
  </si>
  <si>
    <t>The processes determining how a drug enters, moves through and leaves the body.</t>
  </si>
  <si>
    <t>ADME strongly affects efficacy and safety.</t>
  </si>
  <si>
    <t>Testing microsomal stability and permeability.</t>
  </si>
  <si>
    <t>PK; bioavailability; clearance</t>
  </si>
  <si>
    <t>In vitro ADME tests are models.</t>
  </si>
  <si>
    <t>Bioavailability</t>
  </si>
  <si>
    <t>The fraction of a dose reaching systemic circulation in active form.</t>
  </si>
  <si>
    <t>It influences effective dose and route.</t>
  </si>
  <si>
    <t>Comparing oral and intravenous exposure.</t>
  </si>
  <si>
    <t>Absorption; PK; first-pass metabolism</t>
  </si>
  <si>
    <t>It does not guarantee tissue delivery.</t>
  </si>
  <si>
    <t>Half-life</t>
  </si>
  <si>
    <t>t1/2</t>
  </si>
  <si>
    <t>The time for an amount or concentration to decrease by half.</t>
  </si>
  <si>
    <t>It influences dosing interval and persistence.</t>
  </si>
  <si>
    <t>A plasma half-life of eight hours.</t>
  </si>
  <si>
    <t>Clearance; PK; elimination</t>
  </si>
  <si>
    <t>Observed half-life can reflect multiple processes.</t>
  </si>
  <si>
    <t>Potency</t>
  </si>
  <si>
    <t>The amount or concentration needed to produce a specified effect.</t>
  </si>
  <si>
    <t>It guides dose and optimization.</t>
  </si>
  <si>
    <t>An EC50 of 5 nM.</t>
  </si>
  <si>
    <t>Efficacy; EC50; IC50</t>
  </si>
  <si>
    <t>Higher potency does not mean greater maximum effect.</t>
  </si>
  <si>
    <t>Efficacy</t>
  </si>
  <si>
    <t>The magnitude of effect an intervention can produce under defined conditions.</t>
  </si>
  <si>
    <t>It distinguishes how much response is achievable.</t>
  </si>
  <si>
    <t>Maximum pathway inhibition.</t>
  </si>
  <si>
    <t>Potency; effectiveness; Emax</t>
  </si>
  <si>
    <t>Potency and efficacy are different.</t>
  </si>
  <si>
    <t>Effectiveness</t>
  </si>
  <si>
    <t>The performance of an intervention in real-world practice.</t>
  </si>
  <si>
    <t>It captures broader populations and routine use.</t>
  </si>
  <si>
    <t>Post-market outcomes.</t>
  </si>
  <si>
    <t>Efficacy; RWE; implementation</t>
  </si>
  <si>
    <t>An efficacious treatment may be less effective in practice.</t>
  </si>
  <si>
    <t>Half maximal inhibitory concentration</t>
  </si>
  <si>
    <t>IC50</t>
  </si>
  <si>
    <t>The concentration reducing a measured activity by 50%.</t>
  </si>
  <si>
    <t>It is widely used to compare inhibitory potency.</t>
  </si>
  <si>
    <t>An enzyme-assay IC50 of 20 nM.</t>
  </si>
  <si>
    <t>EC50; potency; inhibition</t>
  </si>
  <si>
    <t>IC50 depends on assay conditions and is not Kd.</t>
  </si>
  <si>
    <t>Half maximal effective concentration</t>
  </si>
  <si>
    <t>EC50</t>
  </si>
  <si>
    <t>The concentration producing 50% of a specified maximal effect.</t>
  </si>
  <si>
    <t>It summarizes functional potency.</t>
  </si>
  <si>
    <t>A receptor agonist EC50 of 3 nM.</t>
  </si>
  <si>
    <t>IC50; potency; Emax</t>
  </si>
  <si>
    <t>EC50 is not necessarily equal to Kd.</t>
  </si>
  <si>
    <t>Selectivity</t>
  </si>
  <si>
    <t>Preference for the intended target or effect over alternatives.</t>
  </si>
  <si>
    <t>Selectivity can reduce off-target effects.</t>
  </si>
  <si>
    <t>A kinase inhibitor selective for one family member.</t>
  </si>
  <si>
    <t>Specificity; off-target; safety</t>
  </si>
  <si>
    <t>Selectivity is relative to the tested panel.</t>
  </si>
  <si>
    <t>Off-target effect</t>
  </si>
  <si>
    <t>An effect caused by interaction with an unintended target or pathway.</t>
  </si>
  <si>
    <t>Off-target activity can create toxicity or misleading results.</t>
  </si>
  <si>
    <t>CRISPR editing a similar genomic site.</t>
  </si>
  <si>
    <t>Selectivity; toxicity; specificity</t>
  </si>
  <si>
    <t>An unexpected phenotype is not automatically off-target.</t>
  </si>
  <si>
    <t>Dose-response curve</t>
  </si>
  <si>
    <t>The relationship between dose or concentration and response.</t>
  </si>
  <si>
    <t>It supports potency, efficacy and safety decisions.</t>
  </si>
  <si>
    <t>Cell viability across ten concentrations.</t>
  </si>
  <si>
    <t>EC50; IC50; Hill slope</t>
  </si>
  <si>
    <t>Curve shape can be distorted by assay artifacts.</t>
  </si>
  <si>
    <t>Therapeutic window</t>
  </si>
  <si>
    <t>The exposure range between desired effects and unacceptable toxicity.</t>
  </si>
  <si>
    <t>A wider window generally offers more flexibility.</t>
  </si>
  <si>
    <t>Efficacy below organ-toxic doses.</t>
  </si>
  <si>
    <t>Therapeutic index; margin; dose</t>
  </si>
  <si>
    <t>It varies by population and endpoint.</t>
  </si>
  <si>
    <t>Toxicology</t>
  </si>
  <si>
    <t>The study of harmful effects of substances on biological systems.</t>
  </si>
  <si>
    <t>It identifies risks and affected organs.</t>
  </si>
  <si>
    <t>Assessing liver toxicity in animals.</t>
  </si>
  <si>
    <t>Safety pharmacology; adverse effect; GLP</t>
  </si>
  <si>
    <t>Toxicity depends on dose, route and duration.</t>
  </si>
  <si>
    <t>Biomarker</t>
  </si>
  <si>
    <t>A measurable characteristic indicating biology, disease or response.</t>
  </si>
  <si>
    <t>Biomarkers support diagnosis, stratification and monitoring.</t>
  </si>
  <si>
    <t>Circulating tumor DNA.</t>
  </si>
  <si>
    <t>Endpoint; diagnostic; PD marker</t>
  </si>
  <si>
    <t>A biomarker is not automatically clinically validated.</t>
  </si>
  <si>
    <t>Predictive biomarker</t>
  </si>
  <si>
    <t>A biomarker identifying individuals more likely to respond differently to a treatment.</t>
  </si>
  <si>
    <t>It enables treatment selection.</t>
  </si>
  <si>
    <t>A tumor mutation predicting targeted-therapy response.</t>
  </si>
  <si>
    <t>Prognostic; companion diagnostic; stratification</t>
  </si>
  <si>
    <t>Outcome association alone is not predictive of treatment benefit.</t>
  </si>
  <si>
    <t>Prognostic biomarker</t>
  </si>
  <si>
    <t>A biomarker associated with disease course independent of a specific treatment.</t>
  </si>
  <si>
    <t>It supports risk stratification.</t>
  </si>
  <si>
    <t>A gene signature associated with recurrence.</t>
  </si>
  <si>
    <t>Predictive biomarker; outcome; risk</t>
  </si>
  <si>
    <t>Prognostic and predictive effects need different analyses.</t>
  </si>
  <si>
    <t>Preclinical development</t>
  </si>
  <si>
    <t>Studies before human trials characterizing efficacy, pharmacology and safety.</t>
  </si>
  <si>
    <t>Preclinical evidence supports first-in-human decisions.</t>
  </si>
  <si>
    <t>Animal toxicology and PK studies.</t>
  </si>
  <si>
    <t>Discovery; IND; translation</t>
  </si>
  <si>
    <t>Preclinical includes more than animal studies.</t>
  </si>
  <si>
    <t>Investigational New Drug application</t>
  </si>
  <si>
    <t>IND</t>
  </si>
  <si>
    <t>A US regulatory submission seeking authorization to begin clinical testing.</t>
  </si>
  <si>
    <t>It integrates preclinical, manufacturing and clinical plans.</t>
  </si>
  <si>
    <t>Submitting toxicology, CMC and protocol information.</t>
  </si>
  <si>
    <t>CTA; FDA; first-in-human</t>
  </si>
  <si>
    <t>Other jurisdictions use different processes.</t>
  </si>
  <si>
    <t>Chemistry, manufacturing and controls</t>
  </si>
  <si>
    <t>CMC</t>
  </si>
  <si>
    <t>Activities ensuring a drug substance and product can be consistently made and controlled.</t>
  </si>
  <si>
    <t>CMC becomes critical toward clinical use and scale.</t>
  </si>
  <si>
    <t>Defining formulation and specifications.</t>
  </si>
  <si>
    <t>GMP; formulation; analytics</t>
  </si>
  <si>
    <t>CMC applies beyond small molecules.</t>
  </si>
  <si>
    <t>Clinical trial</t>
  </si>
  <si>
    <t>Clinical Research</t>
  </si>
  <si>
    <t>A prospective human study evaluating health-related interventions or outcomes.</t>
  </si>
  <si>
    <t>Trials generate safety and efficacy evidence.</t>
  </si>
  <si>
    <t>Testing a therapy against standard care.</t>
  </si>
  <si>
    <t>Protocol; phase; endpoint</t>
  </si>
  <si>
    <t>Not every clinical study is interventional.</t>
  </si>
  <si>
    <t>https://clinicaltrials.gov/</t>
  </si>
  <si>
    <t>Observational study</t>
  </si>
  <si>
    <t>A study measuring exposures and outcomes without assigning intervention.</t>
  </si>
  <si>
    <t>It reveals real-world associations and natural history.</t>
  </si>
  <si>
    <t>Following a cohort over time.</t>
  </si>
  <si>
    <t>Cohort; confounding; RWD</t>
  </si>
  <si>
    <t>Association does not automatically establish causality.</t>
  </si>
  <si>
    <t>Interventional study</t>
  </si>
  <si>
    <t>A study assigning participants an intervention according to a protocol.</t>
  </si>
  <si>
    <t>It evaluates treatment or procedure effects.</t>
  </si>
  <si>
    <t>Randomizing participants to drug or placebo.</t>
  </si>
  <si>
    <t>Trial; randomization; arm</t>
  </si>
  <si>
    <t>Not all interventional studies are randomized.</t>
  </si>
  <si>
    <t>Phase I trial</t>
  </si>
  <si>
    <t>An early study primarily characterizing safety, dose, tolerability and PK.</t>
  </si>
  <si>
    <t>It provides first evidence in humans.</t>
  </si>
  <si>
    <t>Dose escalation in patients.</t>
  </si>
  <si>
    <t>FIH; dose escalation; PK</t>
  </si>
  <si>
    <t>In oncology it is often conducted in patients.</t>
  </si>
  <si>
    <t>Phase II trial</t>
  </si>
  <si>
    <t>A study exploring therapeutic activity, dose and continued safety.</t>
  </si>
  <si>
    <t>It tests whether a signal justifies confirmation.</t>
  </si>
  <si>
    <t>Randomized comparison of dose levels.</t>
  </si>
  <si>
    <t>Proof of concept; endpoint; Phase III</t>
  </si>
  <si>
    <t>Phase boundaries vary.</t>
  </si>
  <si>
    <t>Phase III trial</t>
  </si>
  <si>
    <t>A larger confirmatory study intended to establish benefit-risk.</t>
  </si>
  <si>
    <t>It often supports regulatory approval.</t>
  </si>
  <si>
    <t>New therapy versus standard care.</t>
  </si>
  <si>
    <t>Confirmatory; primary endpoint; registration</t>
  </si>
  <si>
    <t>Development does not always follow a simple sequence.</t>
  </si>
  <si>
    <t>Phase IV study</t>
  </si>
  <si>
    <t>A post-approval study evaluating real-world use or long-term safety.</t>
  </si>
  <si>
    <t>It can reveal rare events and effectiveness.</t>
  </si>
  <si>
    <t>A long-term registry.</t>
  </si>
  <si>
    <t>Pharmacovigilance; RWE; post-market</t>
  </si>
  <si>
    <t>It can use several study designs.</t>
  </si>
  <si>
    <t>First-in-human study</t>
  </si>
  <si>
    <t>FIH</t>
  </si>
  <si>
    <t>The first administration of an investigational therapy to humans.</t>
  </si>
  <si>
    <t>It translates preclinical assumptions into human data.</t>
  </si>
  <si>
    <t>Initial dose escalation.</t>
  </si>
  <si>
    <t>Phase I; starting dose; IND</t>
  </si>
  <si>
    <t>First-in-human does not always mean first-in-patient.</t>
  </si>
  <si>
    <t>Proof of concept</t>
  </si>
  <si>
    <t>PoC</t>
  </si>
  <si>
    <t>Evidence that an intervention produces its intended biological or clinical effect.</t>
  </si>
  <si>
    <t>It supports major development decisions.</t>
  </si>
  <si>
    <t>A Phase II efficacy signal.</t>
  </si>
  <si>
    <t>Target validation; efficacy; translation</t>
  </si>
  <si>
    <t>Required proof depends on the decision.</t>
  </si>
  <si>
    <t>Treatment arm</t>
  </si>
  <si>
    <t>A participant group assigned to a particular intervention or control.</t>
  </si>
  <si>
    <t>Arms define trial comparisons.</t>
  </si>
  <si>
    <t>Drug, placebo and standard-care arms.</t>
  </si>
  <si>
    <t>Randomization; control; cohort</t>
  </si>
  <si>
    <t>A cohort and arm are not necessarily the same.</t>
  </si>
  <si>
    <t>Placebo</t>
  </si>
  <si>
    <t>An inactive control designed to resemble the investigational treatment.</t>
  </si>
  <si>
    <t>It helps isolate treatment effects and expectation bias.</t>
  </si>
  <si>
    <t>An inactive tablet.</t>
  </si>
  <si>
    <t>Blinding; control; placebo effect</t>
  </si>
  <si>
    <t>It is not ethical or feasible in every setting.</t>
  </si>
  <si>
    <t>Inclusion criteria</t>
  </si>
  <si>
    <t>Characteristics participants must have to enter a study.</t>
  </si>
  <si>
    <t>They define the intended population.</t>
  </si>
  <si>
    <t>Adults with confirmed disease.</t>
  </si>
  <si>
    <t>Exclusion; eligibility; cohort</t>
  </si>
  <si>
    <t>Strict criteria can reduce generalizability.</t>
  </si>
  <si>
    <t>Exclusion criteria</t>
  </si>
  <si>
    <t>Characteristics that prevent participation.</t>
  </si>
  <si>
    <t>They protect safety and reduce interpretive problems.</t>
  </si>
  <si>
    <t>Excluding severe organ dysfunction.</t>
  </si>
  <si>
    <t>Inclusion; eligibility; safety</t>
  </si>
  <si>
    <t>They should be scientifically justified.</t>
  </si>
  <si>
    <t>Informed consent</t>
  </si>
  <si>
    <t>A process through which a participant voluntarily agrees after receiving understandable information.</t>
  </si>
  <si>
    <t>It is a central ethical requirement.</t>
  </si>
  <si>
    <t>Discussing risks before signing consent.</t>
  </si>
  <si>
    <t>Ethics committee; privacy; participant</t>
  </si>
  <si>
    <t>A signed form alone is not the entire process.</t>
  </si>
  <si>
    <t>Institutional review board</t>
  </si>
  <si>
    <t>IRB</t>
  </si>
  <si>
    <t>A committee reviewing human research to protect participants.</t>
  </si>
  <si>
    <t>Ethical review is required before many studies.</t>
  </si>
  <si>
    <t>Reviewing a protocol and consent documents.</t>
  </si>
  <si>
    <t>Ethics committee; consent; protocol</t>
  </si>
  <si>
    <t>Names and responsibilities vary by jurisdiction.</t>
  </si>
  <si>
    <t>Adverse event</t>
  </si>
  <si>
    <t>AE</t>
  </si>
  <si>
    <t>Any unfavorable medical occurrence during an intervention, regardless of causality.</t>
  </si>
  <si>
    <t>AE collection is essential for safety evaluation.</t>
  </si>
  <si>
    <t>Headache during a trial.</t>
  </si>
  <si>
    <t>SAE; causality; safety</t>
  </si>
  <si>
    <t>An AE is not automatically a drug reaction.</t>
  </si>
  <si>
    <t>Serious adverse event</t>
  </si>
  <si>
    <t>SAE</t>
  </si>
  <si>
    <t>An AE meeting seriousness criteria such as death or hospitalization.</t>
  </si>
  <si>
    <t>SAEs require rapid assessment and reporting.</t>
  </si>
  <si>
    <t>Hospitalization after a severe reaction.</t>
  </si>
  <si>
    <t>AE; severity; pharmacovigilance</t>
  </si>
  <si>
    <t>Seriousness differs from intensity.</t>
  </si>
  <si>
    <t>Adverse drug reaction</t>
  </si>
  <si>
    <t>ADR</t>
  </si>
  <si>
    <t>A harmful unintended response with at least a reasonably possible causal drug relationship.</t>
  </si>
  <si>
    <t>ADRs refine a product's safety profile.</t>
  </si>
  <si>
    <t>Drug-induced liver injury.</t>
  </si>
  <si>
    <t>AE; causality; pharmacovigilance</t>
  </si>
  <si>
    <t>AE describes occurrence; ADR includes suspected causality.</t>
  </si>
  <si>
    <t>Pharmacovigilance</t>
  </si>
  <si>
    <t>PV</t>
  </si>
  <si>
    <t>Activities detecting, assessing and preventing adverse medicine effects.</t>
  </si>
  <si>
    <t>PV continues through development and post-market use.</t>
  </si>
  <si>
    <t>Signal detection from safety reports.</t>
  </si>
  <si>
    <t>Safety signal; AE; post-market</t>
  </si>
  <si>
    <t>It is broader than case processing.</t>
  </si>
  <si>
    <t>Randomized controlled trial</t>
  </si>
  <si>
    <t>RCT</t>
  </si>
  <si>
    <t>A study randomly assigning participants to groups and comparing outcomes.</t>
  </si>
  <si>
    <t>It strengthens causal inference.</t>
  </si>
  <si>
    <t>Drug versus placebo trial.</t>
  </si>
  <si>
    <t>Randomization; control; clinical trial</t>
  </si>
  <si>
    <t>It does not eliminate all bias.</t>
  </si>
  <si>
    <t>Open-label study</t>
  </si>
  <si>
    <t>A study where participants and investigators know assigned treatment.</t>
  </si>
  <si>
    <t>It may be necessary but is exposed to expectation bias.</t>
  </si>
  <si>
    <t>A single-arm oncology trial.</t>
  </si>
  <si>
    <t>Blinding; single-arm; bias</t>
  </si>
  <si>
    <t>Open-label does not mean uncontrolled.</t>
  </si>
  <si>
    <t>Double-blind study</t>
  </si>
  <si>
    <t>A study where two relevant groups are unaware of assignments.</t>
  </si>
  <si>
    <t>Blinding reduces expectation and measurement bias.</t>
  </si>
  <si>
    <t>A placebo-controlled blinded trial.</t>
  </si>
  <si>
    <t>Masking; randomization; placebo</t>
  </si>
  <si>
    <t>The exact blinded parties should be stated.</t>
  </si>
  <si>
    <t>Intention-to-treat analysis</t>
  </si>
  <si>
    <t>ITT</t>
  </si>
  <si>
    <t>Analysis according to assigned groups regardless of adherence.</t>
  </si>
  <si>
    <t>ITT generally preserves randomization benefits.</t>
  </si>
  <si>
    <t>Keeping participants in original arms.</t>
  </si>
  <si>
    <t>Per-protocol; missing data; randomization</t>
  </si>
  <si>
    <t>Missing outcomes still require careful handling.</t>
  </si>
  <si>
    <t>Surrogate endpoint</t>
  </si>
  <si>
    <t>A biomarker or intermediate outcome used instead of a direct clinical outcome.</t>
  </si>
  <si>
    <t>It can shorten studies but needs validation.</t>
  </si>
  <si>
    <t>Tumor response instead of survival.</t>
  </si>
  <si>
    <t>Endpoint; biomarker; validation</t>
  </si>
  <si>
    <t>Correlation does not make a valid surrogate.</t>
  </si>
  <si>
    <t>Overall survival</t>
  </si>
  <si>
    <t>OS</t>
  </si>
  <si>
    <t>Time from a defined start until death from any cause.</t>
  </si>
  <si>
    <t>OS is a direct clinically meaningful endpoint.</t>
  </si>
  <si>
    <t>Median overall survival.</t>
  </si>
  <si>
    <t>PFS; censoring; survival analysis</t>
  </si>
  <si>
    <t>It can be affected by subsequent therapy and long follow-up.</t>
  </si>
  <si>
    <t>Progression-free survival</t>
  </si>
  <si>
    <t>PFS</t>
  </si>
  <si>
    <t>Time until disease progression or death under specified criteria.</t>
  </si>
  <si>
    <t>It can provide earlier evidence than OS.</t>
  </si>
  <si>
    <t>Median PFS in an oncology trial.</t>
  </si>
  <si>
    <t>OS; progression; censoring</t>
  </si>
  <si>
    <t>Assessment schedule affects PFS.</t>
  </si>
  <si>
    <t>Real-world data</t>
  </si>
  <si>
    <t>RWD</t>
  </si>
  <si>
    <t>Patient-health or healthcare-delivery data collected outside traditional trials.</t>
  </si>
  <si>
    <t>It describes broader populations and routine practice.</t>
  </si>
  <si>
    <t>Electronic health records or claims.</t>
  </si>
  <si>
    <t>RWE; observational study; registry</t>
  </si>
  <si>
    <t>Fitness depends on the question.</t>
  </si>
  <si>
    <t>Real-world evidence</t>
  </si>
  <si>
    <t>RWE</t>
  </si>
  <si>
    <t>Clinical evidence generated through analysis of fit-for-purpose RWD.</t>
  </si>
  <si>
    <t>It can support safety and effectiveness decisions.</t>
  </si>
  <si>
    <t>Outcomes estimated from a registry.</t>
  </si>
  <si>
    <t>RWD; causal inference; effectiveness</t>
  </si>
  <si>
    <t>Data becomes evidence only through appropriate design and analysis.</t>
  </si>
  <si>
    <t>Electronic laboratory notebook</t>
  </si>
  <si>
    <t>ELN</t>
  </si>
  <si>
    <t>Data, Knowledge &amp; Governance</t>
  </si>
  <si>
    <t>A digital system for documenting experiments, observations and scientific records.</t>
  </si>
  <si>
    <t>ELNs support collaboration and traceability.</t>
  </si>
  <si>
    <t>Recording protocols, results and interpretations.</t>
  </si>
  <si>
    <t>LIMS; notebook; experiment</t>
  </si>
  <si>
    <t>An ELN is not automatically a complete data platform.</t>
  </si>
  <si>
    <t>https://www.go-fair.org/fair-principles/</t>
  </si>
  <si>
    <t>Laboratory information management system</t>
  </si>
  <si>
    <t>LIMS</t>
  </si>
  <si>
    <t>Software managing laboratory samples, workflows, tests and operational records.</t>
  </si>
  <si>
    <t>LIMS supports controlled sample and process management.</t>
  </si>
  <si>
    <t>Tracking samples from receipt through testing.</t>
  </si>
  <si>
    <t>ELN; sample management; workflow</t>
  </si>
  <si>
    <t>LIMS often emphasizes operations; ELN emphasizes scientific documentation.</t>
  </si>
  <si>
    <t>Scientific data management system</t>
  </si>
  <si>
    <t>SDMS</t>
  </si>
  <si>
    <t>A system for capturing, organizing and archiving scientific data files.</t>
  </si>
  <si>
    <t>It reduces file fragmentation and supports retention.</t>
  </si>
  <si>
    <t>Collecting instrument files automatically.</t>
  </si>
  <si>
    <t>ELN; LIMS; data lake</t>
  </si>
  <si>
    <t>It may store files without full scientific meaning.</t>
  </si>
  <si>
    <t>Clinical trial management system</t>
  </si>
  <si>
    <t>CTMS</t>
  </si>
  <si>
    <t>Software for planning and tracking clinical-trial operations.</t>
  </si>
  <si>
    <t>It coordinates sites, milestones, enrollment and monitoring.</t>
  </si>
  <si>
    <t>Tracking site activation and visits.</t>
  </si>
  <si>
    <t>EDC; eTMF; clinical operations</t>
  </si>
  <si>
    <t>It is not the main participant-level data repository.</t>
  </si>
  <si>
    <t>Electronic data capture</t>
  </si>
  <si>
    <t>EDC</t>
  </si>
  <si>
    <t>A system for collecting structured clinical-study data.</t>
  </si>
  <si>
    <t>It supports validated clinical data collection and queries.</t>
  </si>
  <si>
    <t>Entering outcomes into an electronic case report form.</t>
  </si>
  <si>
    <t>CTMS; eCRF; clinical database</t>
  </si>
  <si>
    <t>It is different from an electronic health record.</t>
  </si>
  <si>
    <t>Data lake</t>
  </si>
  <si>
    <t>A storage architecture holding large volumes of diverse data in native formats.</t>
  </si>
  <si>
    <t>It centralizes scientific files for later processing.</t>
  </si>
  <si>
    <t>Storing sequencing and imaging files.</t>
  </si>
  <si>
    <t>Data warehouse; object storage; metadata</t>
  </si>
  <si>
    <t>Without governance it can become a data swamp.</t>
  </si>
  <si>
    <t>Data warehouse</t>
  </si>
  <si>
    <t>A curated analytical repository integrating structured data.</t>
  </si>
  <si>
    <t>It provides consistent queryable views for reporting.</t>
  </si>
  <si>
    <t>A company-wide assay reporting layer.</t>
  </si>
  <si>
    <t>Data lake; ETL; analytics</t>
  </si>
  <si>
    <t>It commonly stores transformed, not raw, data.</t>
  </si>
  <si>
    <t>Data catalog</t>
  </si>
  <si>
    <t>A searchable inventory describing datasets, owners, schemas, lineage and access.</t>
  </si>
  <si>
    <t>It helps researchers find and understand existing data.</t>
  </si>
  <si>
    <t>Searching for all disease-area RNA-seq datasets.</t>
  </si>
  <si>
    <t>Metadata; discovery; lineage</t>
  </si>
  <si>
    <t>A catalog may not store underlying data.</t>
  </si>
  <si>
    <t>Master data</t>
  </si>
  <si>
    <t>Authoritative shared records for important entities across systems.</t>
  </si>
  <si>
    <t>It prevents duplicated and conflicting identifiers.</t>
  </si>
  <si>
    <t>Approved compound and target records.</t>
  </si>
  <si>
    <t>Reference data; identifier; governance</t>
  </si>
  <si>
    <t>It requires stewardship and lifecycle rules.</t>
  </si>
  <si>
    <t>Reference data</t>
  </si>
  <si>
    <t>Standardized values used to classify or constrain other data.</t>
  </si>
  <si>
    <t>It improves consistency across systems.</t>
  </si>
  <si>
    <t>Species codes, units or assay types.</t>
  </si>
  <si>
    <t>Vocabulary; master data; validation</t>
  </si>
  <si>
    <t>It overlaps with but differs from master data.</t>
  </si>
  <si>
    <t>Data stewardship</t>
  </si>
  <si>
    <t>Accountability for data quality, meaning, access and lifecycle within a domain.</t>
  </si>
  <si>
    <t>Stewardship turns policies into daily decisions.</t>
  </si>
  <si>
    <t>A domain expert approving assay metadata standards.</t>
  </si>
  <si>
    <t>Data owner; governance; quality</t>
  </si>
  <si>
    <t>A steward may not own infrastructure or legal rights.</t>
  </si>
  <si>
    <t>Data governance</t>
  </si>
  <si>
    <t>Policies, roles and controls governing data quality, access, meaning and lifecycle.</t>
  </si>
  <si>
    <t>It makes scientific data trustworthy at scale.</t>
  </si>
  <si>
    <t>Defining access to patient genomic data.</t>
  </si>
  <si>
    <t>Stewardship; access; compliance</t>
  </si>
  <si>
    <t>Governance also enables responsible use, not only restriction.</t>
  </si>
  <si>
    <t>Data quality</t>
  </si>
  <si>
    <t>The degree to which data is fit for its intended use.</t>
  </si>
  <si>
    <t>Poor data undermines analysis regardless of algorithm.</t>
  </si>
  <si>
    <t>Complete metadata and valid measurement ranges.</t>
  </si>
  <si>
    <t>Completeness; accuracy; consistency</t>
  </si>
  <si>
    <t>Quality is context-dependent.</t>
  </si>
  <si>
    <t>Data validation</t>
  </si>
  <si>
    <t>Checks that data conforms to expected formats, rules and relationships.</t>
  </si>
  <si>
    <t>It catches errors early.</t>
  </si>
  <si>
    <t>Rejecting an impossible collection date.</t>
  </si>
  <si>
    <t>Schema; QC; constraint</t>
  </si>
  <si>
    <t>Validation confirms rules, not scientific truth.</t>
  </si>
  <si>
    <t>Audit trail</t>
  </si>
  <si>
    <t>A time-stamped record of actions and changes.</t>
  </si>
  <si>
    <t>It supports accountability and regulated inspection.</t>
  </si>
  <si>
    <t>Recording who changed sample status.</t>
  </si>
  <si>
    <t>Provenance; electronic record; compliance</t>
  </si>
  <si>
    <t>It should be protected from ordinary alteration.</t>
  </si>
  <si>
    <t>Authentication</t>
  </si>
  <si>
    <t>The process of verifying user or system identity.</t>
  </si>
  <si>
    <t>Reliable identity supports secure collaboration and auditing.</t>
  </si>
  <si>
    <t>Signing in with multifactor authentication.</t>
  </si>
  <si>
    <t>Authorization; identity; MFA</t>
  </si>
  <si>
    <t>It does not determine permissions.</t>
  </si>
  <si>
    <t>Authorization</t>
  </si>
  <si>
    <t>The process of determining permitted actions for an identity.</t>
  </si>
  <si>
    <t>It enforces project and data boundaries.</t>
  </si>
  <si>
    <t>Allowing view but not deletion.</t>
  </si>
  <si>
    <t>Authentication; permission; role</t>
  </si>
  <si>
    <t>A logged-in user is not authorized for everything.</t>
  </si>
  <si>
    <t>Role-based access control</t>
  </si>
  <si>
    <t>RBAC</t>
  </si>
  <si>
    <t>An access model assigning permissions to roles and roles to users.</t>
  </si>
  <si>
    <t>It simplifies governance across teams.</t>
  </si>
  <si>
    <t>Researcher, project lead and administrator roles.</t>
  </si>
  <si>
    <t>Authorization; permission; least privilege</t>
  </si>
  <si>
    <t>Complex exceptions may need attribute-based rules.</t>
  </si>
  <si>
    <t>Least privilege</t>
  </si>
  <si>
    <t>The principle of granting only the access necessary for a task.</t>
  </si>
  <si>
    <t>It reduces accidental exposure and damage.</t>
  </si>
  <si>
    <t>A service account reading one bucket only.</t>
  </si>
  <si>
    <t>Access control; security; role</t>
  </si>
  <si>
    <t>Overrestriction can also obstruct work.</t>
  </si>
  <si>
    <t>Personally identifiable information</t>
  </si>
  <si>
    <t>PII</t>
  </si>
  <si>
    <t>Information that can identify or be linked to an individual, depending on law.</t>
  </si>
  <si>
    <t>It requires suitable handling and access controls.</t>
  </si>
  <si>
    <t>Name, contact details or identifying code.</t>
  </si>
  <si>
    <t>Personal data; privacy; de-identification</t>
  </si>
  <si>
    <t>Definitions vary by jurisdiction.</t>
  </si>
  <si>
    <t>Protected health information</t>
  </si>
  <si>
    <t>PHI</t>
  </si>
  <si>
    <t>Individually identifiable health information protected under specific healthcare law, especially in the US.</t>
  </si>
  <si>
    <t>It has strict use and security requirements.</t>
  </si>
  <si>
    <t>A clinical record linked to identity.</t>
  </si>
  <si>
    <t>PII; HIPAA; clinical data</t>
  </si>
  <si>
    <t>It is a jurisdiction-specific legal term.</t>
  </si>
  <si>
    <t>De-identification</t>
  </si>
  <si>
    <t>Reducing or removing links between data and an identifiable person.</t>
  </si>
  <si>
    <t>It lowers privacy risk and can enable secondary research.</t>
  </si>
  <si>
    <t>Removing direct identifiers and generalizing dates.</t>
  </si>
  <si>
    <t>Pseudonymization; anonymization; privacy</t>
  </si>
  <si>
    <t>It may not eliminate re-identification risk.</t>
  </si>
  <si>
    <t>Pseudonymization</t>
  </si>
  <si>
    <t>Replacing direct identifiers with codes while retaining a controlled re-linking key.</t>
  </si>
  <si>
    <t>It reduces exposure while preserving longitudinal linkage.</t>
  </si>
  <si>
    <t>Using coded participant IDs.</t>
  </si>
  <si>
    <t>De-identification; anonymization; key</t>
  </si>
  <si>
    <t>It remains personal data under many frameworks.</t>
  </si>
  <si>
    <t>Anonymization</t>
  </si>
  <si>
    <t>Processing data so people are no longer reasonably identifiable.</t>
  </si>
  <si>
    <t>It may reduce legal restrictions when robustly achieved.</t>
  </si>
  <si>
    <t>Publishing sufficiently aggregated statistics.</t>
  </si>
  <si>
    <t>Pseudonymization; privacy; re-identification</t>
  </si>
  <si>
    <t>Rich genomic data can be difficult to anonymize.</t>
  </si>
  <si>
    <t>Data retention</t>
  </si>
  <si>
    <t>Policies defining how long data and records are kept, archived or deleted.</t>
  </si>
  <si>
    <t>It balances scientific value, obligations, cost and privacy.</t>
  </si>
  <si>
    <t>Keeping regulated study records for a required period.</t>
  </si>
  <si>
    <t>Lifecycle; archive; deletion</t>
  </si>
  <si>
    <t>Longer retention is not always better.</t>
  </si>
  <si>
    <t>Data sovereignty</t>
  </si>
  <si>
    <t>The principle that data is subject to jurisdictional laws and governance.</t>
  </si>
  <si>
    <t>It matters for sensitive research, institutional policy and trust.</t>
  </si>
  <si>
    <t>Hosting European research data under regional control.</t>
  </si>
  <si>
    <t>Residency; jurisdiction; cloud</t>
  </si>
  <si>
    <t>Physical location alone does not resolve every issue.</t>
  </si>
  <si>
    <t>Data residency</t>
  </si>
  <si>
    <t>The physical or geographic location where data is stored or processed.</t>
  </si>
  <si>
    <t>Residency can be required by contract or regulation.</t>
  </si>
  <si>
    <t>Restricting storage to Switzerland.</t>
  </si>
  <si>
    <t>Sovereignty; cloud region; compliance</t>
  </si>
  <si>
    <t>It is narrower than sovereignty.</t>
  </si>
  <si>
    <t>Persistent identifier</t>
  </si>
  <si>
    <t>PID</t>
  </si>
  <si>
    <t>A long-lived identifier intended to remain stable even if location changes.</t>
  </si>
  <si>
    <t>It supports durable citation and linking.</t>
  </si>
  <si>
    <t>A DOI for a dataset or ORCID for a researcher.</t>
  </si>
  <si>
    <t>Identifier; DOI; provenance</t>
  </si>
  <si>
    <t>Persistence requires organizational commitment.</t>
  </si>
  <si>
    <t>Digital object identifier</t>
  </si>
  <si>
    <t>DOI</t>
  </si>
  <si>
    <t>A persistent identifier commonly assigned to publications and datasets.</t>
  </si>
  <si>
    <t>It improves citation and durable retrieval.</t>
  </si>
  <si>
    <t>Citing a dataset by DOI.</t>
  </si>
  <si>
    <t>PID; citation; publication</t>
  </si>
  <si>
    <t>A DOI does not guarantee quality.</t>
  </si>
  <si>
    <t>Semantic interoperability</t>
  </si>
  <si>
    <t>The ability to exchange data while preserving shared meaning.</t>
  </si>
  <si>
    <t>It enables machine-readable integration across tools.</t>
  </si>
  <si>
    <t>Two systems using the same assay ontology.</t>
  </si>
  <si>
    <t>Ontology; standard; interoperability</t>
  </si>
  <si>
    <t>Matching field names alone is insufficient.</t>
  </si>
  <si>
    <t>Artificial intelligence</t>
  </si>
  <si>
    <t>AI</t>
  </si>
  <si>
    <t>AI &amp; Computational Research</t>
  </si>
  <si>
    <t>Computational systems performing tasks involving learning, reasoning, prediction or generation.</t>
  </si>
  <si>
    <t>AI is increasingly used across R&amp;D and operations.</t>
  </si>
  <si>
    <t>A model summarizing experiments or predicting protein structure.</t>
  </si>
  <si>
    <t>Machine learning; generative AI; model</t>
  </si>
  <si>
    <t>AI is a broad field, not one technology.</t>
  </si>
  <si>
    <t>https://www.nist.gov/artificial-intelligence</t>
  </si>
  <si>
    <t>Machine learning</t>
  </si>
  <si>
    <t>ML</t>
  </si>
  <si>
    <t>Methods that learn patterns from data to make predictions or representations.</t>
  </si>
  <si>
    <t>ML supports biomarkers, imaging, molecule design and automation.</t>
  </si>
  <si>
    <t>Classifying cells from expression profiles.</t>
  </si>
  <si>
    <t>Training data; feature; model</t>
  </si>
  <si>
    <t>ML is broader than neural networks.</t>
  </si>
  <si>
    <t>Deep learning</t>
  </si>
  <si>
    <t>DL</t>
  </si>
  <si>
    <t>Machine learning based on multilayer neural networks.</t>
  </si>
  <si>
    <t>It excels with complex images, sequences and language.</t>
  </si>
  <si>
    <t>Predicting structure from protein sequence.</t>
  </si>
  <si>
    <t>Neural network; representation; transformer</t>
  </si>
  <si>
    <t>It often needs substantial data and validation.</t>
  </si>
  <si>
    <t>Neural network</t>
  </si>
  <si>
    <t>A parameterized layered computational model transforming inputs into outputs.</t>
  </si>
  <si>
    <t>It learns complex patterns in biological data.</t>
  </si>
  <si>
    <t>A network classifying microscopy images.</t>
  </si>
  <si>
    <t>Deep learning; weights; activation</t>
  </si>
  <si>
    <t>It does not closely reproduce a brain.</t>
  </si>
  <si>
    <t>Transformer</t>
  </si>
  <si>
    <t>A neural architecture using attention to model relationships across sequences or sets.</t>
  </si>
  <si>
    <t>Transformers power language, protein and multimodal models.</t>
  </si>
  <si>
    <t>A protein-language model.</t>
  </si>
  <si>
    <t>Attention; foundation model; token</t>
  </si>
  <si>
    <t>Transformers are not limited to text.</t>
  </si>
  <si>
    <t>Foundation model</t>
  </si>
  <si>
    <t>A large broadly trained model adaptable to many tasks.</t>
  </si>
  <si>
    <t>It may transfer reusable representations to specialized problems.</t>
  </si>
  <si>
    <t>A protein model adapted for function prediction.</t>
  </si>
  <si>
    <t>Pretraining; fine-tuning; transformer</t>
  </si>
  <si>
    <t>Broad capability does not guarantee domain reliability.</t>
  </si>
  <si>
    <t>Large language model</t>
  </si>
  <si>
    <t>LLM</t>
  </si>
  <si>
    <t>A foundation model trained to process and generate language-like sequences.</t>
  </si>
  <si>
    <t>LLMs support literature work, coding and scientific assistants.</t>
  </si>
  <si>
    <t>Answering questions over project records.</t>
  </si>
  <si>
    <t>Transformer; prompt; hallucination</t>
  </si>
  <si>
    <t>Fluent language does not guarantee factual truth.</t>
  </si>
  <si>
    <t>Generative AI</t>
  </si>
  <si>
    <t>GenAI</t>
  </si>
  <si>
    <t>AI systems producing new text, code, images, sequences or structures.</t>
  </si>
  <si>
    <t>It can accelerate ideation, documentation and design.</t>
  </si>
  <si>
    <t>Generating analysis code or molecule candidates.</t>
  </si>
  <si>
    <t>Foundation model; LLM; diffusion</t>
  </si>
  <si>
    <t>Generated outputs require verification.</t>
  </si>
  <si>
    <t>Embedding</t>
  </si>
  <si>
    <t>A numerical vector representation capturing selected similarities among objects.</t>
  </si>
  <si>
    <t>Embeddings support semantic search and clustering.</t>
  </si>
  <si>
    <t>Representing papers or protein sequences as vectors.</t>
  </si>
  <si>
    <t>Vector database; similarity; representation</t>
  </si>
  <si>
    <t>Similarity is model-dependent and not truth.</t>
  </si>
  <si>
    <t>Vector database</t>
  </si>
  <si>
    <t>A system optimized for storing and retrieving embeddings by similarity.</t>
  </si>
  <si>
    <t>It enables semantic retrieval across scientific objects.</t>
  </si>
  <si>
    <t>Finding related experiment notes.</t>
  </si>
  <si>
    <t>Embedding; semantic search; retrieval</t>
  </si>
  <si>
    <t>It does not replace authoritative structured data.</t>
  </si>
  <si>
    <t>Semantic search</t>
  </si>
  <si>
    <t>Search based on inferred meaning rather than exact keywords alone.</t>
  </si>
  <si>
    <t>It helps find related concepts despite different wording.</t>
  </si>
  <si>
    <t>Finding resistance notes from a loss-of-response query.</t>
  </si>
  <si>
    <t>Embedding; retrieval; ontology</t>
  </si>
  <si>
    <t>It can return plausible but irrelevant results.</t>
  </si>
  <si>
    <t>Retrieval-augmented generation</t>
  </si>
  <si>
    <t>RAG</t>
  </si>
  <si>
    <t>A pattern where a model retrieves external information before generating an answer.</t>
  </si>
  <si>
    <t>It can ground outputs in project data and literature.</t>
  </si>
  <si>
    <t>Answering with retrieved experiment records.</t>
  </si>
  <si>
    <t>LLM; retrieval; citation</t>
  </si>
  <si>
    <t>Retrieval does not guarantee correct synthesis.</t>
  </si>
  <si>
    <t>Prompt</t>
  </si>
  <si>
    <t>Instructions and context supplied to a generative model.</t>
  </si>
  <si>
    <t>Prompt design affects scope, behavior and output format.</t>
  </si>
  <si>
    <t>Requesting a structured analysis summary.</t>
  </si>
  <si>
    <t>System instruction; context; prompt engineering</t>
  </si>
  <si>
    <t>A prompt cannot guarantee correctness.</t>
  </si>
  <si>
    <t>Context window</t>
  </si>
  <si>
    <t>The amount of information a model can process in one interaction.</t>
  </si>
  <si>
    <t>It limits how much evidence can be considered at once.</t>
  </si>
  <si>
    <t>Providing selected documents to an LLM.</t>
  </si>
  <si>
    <t>Token; retrieval; memory</t>
  </si>
  <si>
    <t>Long context does not guarantee attention to every detail.</t>
  </si>
  <si>
    <t>Hallucination</t>
  </si>
  <si>
    <t>A generated statement unsupported or inconsistent with evidence.</t>
  </si>
  <si>
    <t>Hallucinations are especially risky in science and medicine.</t>
  </si>
  <si>
    <t>Inventing a paper or result.</t>
  </si>
  <si>
    <t>Verification; grounding; uncertainty</t>
  </si>
  <si>
    <t>Fluent wording is not evidence.</t>
  </si>
  <si>
    <t>Grounding</t>
  </si>
  <si>
    <t>Supporting model output with relevant external evidence, rules or tools.</t>
  </si>
  <si>
    <t>It improves traceability and reduces unsupported claims.</t>
  </si>
  <si>
    <t>Citing project records used in an answer.</t>
  </si>
  <si>
    <t>RAG; provenance; citation</t>
  </si>
  <si>
    <t>It reduces but does not eliminate error.</t>
  </si>
  <si>
    <t>AI agent</t>
  </si>
  <si>
    <t>A system using a model to choose actions, call tools and pursue a goal across steps.</t>
  </si>
  <si>
    <t>Agents can automate workflows but need controls.</t>
  </si>
  <si>
    <t>An agent running QC and drafting a report.</t>
  </si>
  <si>
    <t>Tool use; planning; autonomy</t>
  </si>
  <si>
    <t>An agent is not inherently reliable or fully autonomous.</t>
  </si>
  <si>
    <t>Tool use</t>
  </si>
  <si>
    <t>The ability of an AI system to call external software, databases or functions.</t>
  </si>
  <si>
    <t>Tools enable factual retrieval and reproducible execution.</t>
  </si>
  <si>
    <t>Calling a sequence database or Python.</t>
  </si>
  <si>
    <t>Agent; API; function calling</t>
  </si>
  <si>
    <t>The model must choose and interpret tools correctly.</t>
  </si>
  <si>
    <t>Human in the loop</t>
  </si>
  <si>
    <t>HITL</t>
  </si>
  <si>
    <t>A design where people review, guide or approve selected AI actions.</t>
  </si>
  <si>
    <t>Human oversight is essential for high-impact scientific work.</t>
  </si>
  <si>
    <t>A scientist approving an analysis plan.</t>
  </si>
  <si>
    <t>Approval; autonomy; governance</t>
  </si>
  <si>
    <t>Oversight works only when evidence and responsibility are clear.</t>
  </si>
  <si>
    <t>Model training</t>
  </si>
  <si>
    <t>Adjusting model parameters using data and an objective.</t>
  </si>
  <si>
    <t>Training data and objectives shape capabilities and biases.</t>
  </si>
  <si>
    <t>Training a classifier on microscopy images.</t>
  </si>
  <si>
    <t>Validation; loss; inference</t>
  </si>
  <si>
    <t>Training performance does not prove generalization.</t>
  </si>
  <si>
    <t>Pretraining</t>
  </si>
  <si>
    <t>Initial training on broad data before adaptation to a task.</t>
  </si>
  <si>
    <t>It can learn reusable biological or language representations.</t>
  </si>
  <si>
    <t>Training a model on millions of protein sequences.</t>
  </si>
  <si>
    <t>Foundation model; fine-tuning; transfer</t>
  </si>
  <si>
    <t>Data may contain bias or leakage.</t>
  </si>
  <si>
    <t>Fine-tuning</t>
  </si>
  <si>
    <t>Further training a pretrained model on task-specific data.</t>
  </si>
  <si>
    <t>It adapts broad capabilities to specialized outputs.</t>
  </si>
  <si>
    <t>Adapting a model to biomedical entity extraction.</t>
  </si>
  <si>
    <t>Pretraining; transfer; parameter</t>
  </si>
  <si>
    <t>It can overfit or degrade other capabilities.</t>
  </si>
  <si>
    <t>Inference</t>
  </si>
  <si>
    <t>Using a trained model to generate outputs for new inputs.</t>
  </si>
  <si>
    <t>Inference is the operational phase users experience.</t>
  </si>
  <si>
    <t>Predicting a cell type from new data.</t>
  </si>
  <si>
    <t>Training; prediction; serving</t>
  </si>
  <si>
    <t>The term also has a statistical meaning.</t>
  </si>
  <si>
    <t>Training set</t>
  </si>
  <si>
    <t>Data used to fit model parameters.</t>
  </si>
  <si>
    <t>Training data determines learnable patterns.</t>
  </si>
  <si>
    <t>Labeled images for a classifier.</t>
  </si>
  <si>
    <t>Validation; test; leakage</t>
  </si>
  <si>
    <t>Related samples must not leak into evaluation.</t>
  </si>
  <si>
    <t>Validation set</t>
  </si>
  <si>
    <t>Data used during development to select models or settings.</t>
  </si>
  <si>
    <t>It supports tuning without using the final test set.</t>
  </si>
  <si>
    <t>A held-out subset for model selection.</t>
  </si>
  <si>
    <t>Training; test; cross-validation</t>
  </si>
  <si>
    <t>Repeated tuning can overfit validation data.</t>
  </si>
  <si>
    <t>Test set</t>
  </si>
  <si>
    <t>Independent data reserved for final performance estimation.</t>
  </si>
  <si>
    <t>It provides a less biased generalization assessment.</t>
  </si>
  <si>
    <t>A locked external cohort.</t>
  </si>
  <si>
    <t>Validation; benchmark; generalization</t>
  </si>
  <si>
    <t>It is compromised if repeatedly used for decisions.</t>
  </si>
  <si>
    <t>Data leakage</t>
  </si>
  <si>
    <t>Use of information unavailable at real prediction time during development.</t>
  </si>
  <si>
    <t>Leakage can dramatically inflate performance.</t>
  </si>
  <si>
    <t>Including post-outcome variables.</t>
  </si>
  <si>
    <t>Test set; preprocessing; confounding</t>
  </si>
  <si>
    <t>Leakage can occur through patients, batches or time.</t>
  </si>
  <si>
    <t>Overfitting</t>
  </si>
  <si>
    <t>Learning training-specific patterns that do not generalize.</t>
  </si>
  <si>
    <t>It is common in small, high-dimensional biological datasets.</t>
  </si>
  <si>
    <t>Perfect training but poor external performance.</t>
  </si>
  <si>
    <t>Generalization; regularization; CV</t>
  </si>
  <si>
    <t>Complexity alone does not prove overfitting.</t>
  </si>
  <si>
    <t>Generalization</t>
  </si>
  <si>
    <t>Reliable performance on new data, settings or populations.</t>
  </si>
  <si>
    <t>It determines usefulness beyond the original dataset.</t>
  </si>
  <si>
    <t>Validation at another institution.</t>
  </si>
  <si>
    <t>External validation; robustness; overfitting</t>
  </si>
  <si>
    <t>Random splits may not test deployment shifts.</t>
  </si>
  <si>
    <t>Cross-validation</t>
  </si>
  <si>
    <t>CV</t>
  </si>
  <si>
    <t>Repeatedly splitting data into training and validation subsets.</t>
  </si>
  <si>
    <t>It estimates performance when data is limited.</t>
  </si>
  <si>
    <t>Five-fold cross-validation.</t>
  </si>
  <si>
    <t>Train-test split; resampling; leakage</t>
  </si>
  <si>
    <t>Splits must respect patients, batches and time.</t>
  </si>
  <si>
    <t>External validation</t>
  </si>
  <si>
    <t>Evaluation using independently collected data.</t>
  </si>
  <si>
    <t>It provides stronger evidence of portability.</t>
  </si>
  <si>
    <t>Testing a diagnostic model at another hospital.</t>
  </si>
  <si>
    <t>Generalization; test set; dataset shift</t>
  </si>
  <si>
    <t>External data can still be too similar.</t>
  </si>
  <si>
    <t>Benchmark</t>
  </si>
  <si>
    <t>A standardized dataset, task or procedure for method comparison.</t>
  </si>
  <si>
    <t>It supports transparent progress tracking.</t>
  </si>
  <si>
    <t>Comparing variant callers on a truth dataset.</t>
  </si>
  <si>
    <t>Metric; test set; baseline</t>
  </si>
  <si>
    <t>Optimization to a benchmark may not solve real-world use.</t>
  </si>
  <si>
    <t>Baseline model</t>
  </si>
  <si>
    <t>A simple reference method used to judge more complex models.</t>
  </si>
  <si>
    <t>It shows whether complexity adds real value.</t>
  </si>
  <si>
    <t>Logistic regression versus a deep network.</t>
  </si>
  <si>
    <t>Benchmark; control; comparison</t>
  </si>
  <si>
    <t>A weak baseline can exaggerate novelty.</t>
  </si>
  <si>
    <t>Model drift</t>
  </si>
  <si>
    <t>Change or degradation in model behavior as data or relationships shift.</t>
  </si>
  <si>
    <t>Instruments, populations and workflows change after deployment.</t>
  </si>
  <si>
    <t>A diagnostic declining after a platform change.</t>
  </si>
  <si>
    <t>Dataset shift; monitoring; retraining</t>
  </si>
  <si>
    <t>Drift can affect inputs, labels or outcomes.</t>
  </si>
  <si>
    <t>Dataset shift</t>
  </si>
  <si>
    <t>A difference between development data and later operating data.</t>
  </si>
  <si>
    <t>It threatens model validity.</t>
  </si>
  <si>
    <t>A model trained in one ancestry group used in another.</t>
  </si>
  <si>
    <t>Generalization; drift; adaptation</t>
  </si>
  <si>
    <t>Different shifts need different responses.</t>
  </si>
  <si>
    <t>Explainability</t>
  </si>
  <si>
    <t>Methods helping people understand how a model produced an output.</t>
  </si>
  <si>
    <t>It supports debugging, trust and scientific insight.</t>
  </si>
  <si>
    <t>Highlighting image regions influencing a prediction.</t>
  </si>
  <si>
    <t>Interpretability; feature importance; transparency</t>
  </si>
  <si>
    <t>An explanation can be plausible but unfaithful.</t>
  </si>
  <si>
    <t>Uncertainty quantification</t>
  </si>
  <si>
    <t>UQ</t>
  </si>
  <si>
    <t>Methods estimating and communicating prediction or parameter uncertainty.</t>
  </si>
  <si>
    <t>Scientific systems should signal weak evidence.</t>
  </si>
  <si>
    <t>Prediction intervals or calibrated probabilities.</t>
  </si>
  <si>
    <t>Calibration; confidence; Bayesian inference</t>
  </si>
  <si>
    <t>Raw probabilities are not automatically calibrated.</t>
  </si>
  <si>
    <t>Multimodal model</t>
  </si>
  <si>
    <t>A model combining data types such as text, images, sequences or measurements.</t>
  </si>
  <si>
    <t>Life-science decisions require diverse evidence.</t>
  </si>
  <si>
    <t>Combining pathology images and genomic data.</t>
  </si>
  <si>
    <t>Multi-omics; foundation model; data fusion</t>
  </si>
  <si>
    <t>Alignment and missingness are difficult.</t>
  </si>
  <si>
    <t>Scientific agent</t>
  </si>
  <si>
    <t>An AI agent designed for scientific tasks using domain tools and verification.</t>
  </si>
  <si>
    <t>It may accelerate analysis while preserving oversight.</t>
  </si>
  <si>
    <t>Planning and executing an RNA-seq workflow.</t>
  </si>
  <si>
    <t>AI agent; workflow; provenance</t>
  </si>
  <si>
    <t>Plausibility must not replace empirical verification.</t>
  </si>
  <si>
    <t>Agentic workflow</t>
  </si>
  <si>
    <t>A workflow where an AI system dynamically selects actions based on intermediate results.</t>
  </si>
  <si>
    <t>It can adapt beyond fixed automation.</t>
  </si>
  <si>
    <t>Inspecting QC before choosing next analysis.</t>
  </si>
  <si>
    <t>Pipeline; agent; approval</t>
  </si>
  <si>
    <t>Dynamic behavior needs strong traceability.</t>
  </si>
  <si>
    <t>Model card</t>
  </si>
  <si>
    <t>Structured documentation of model purpose, data, performance and limitations.</t>
  </si>
  <si>
    <t>It supports transparent deployment.</t>
  </si>
  <si>
    <t>Documenting a cell-classification model.</t>
  </si>
  <si>
    <t>Dataset documentation; governance; validation</t>
  </si>
  <si>
    <t>Documentation does not replace evaluation.</t>
  </si>
  <si>
    <t>Methodology</t>
  </si>
  <si>
    <t>Category</t>
  </si>
  <si>
    <t>Purpose</t>
  </si>
  <si>
    <t>Typical inputs</t>
  </si>
  <si>
    <t>Simplified workflow</t>
  </si>
  <si>
    <t>Typical outputs</t>
  </si>
  <si>
    <t>Strengths</t>
  </si>
  <si>
    <t>Limitations / risks</t>
  </si>
  <si>
    <t>Key QC checks</t>
  </si>
  <si>
    <t>Common tools / platforms</t>
  </si>
  <si>
    <t>When to learn</t>
  </si>
  <si>
    <t>Polymerase chain reaction</t>
  </si>
  <si>
    <t>Molecular biology</t>
  </si>
  <si>
    <t>Amplify a selected DNA region.</t>
  </si>
  <si>
    <t>DNA template, primers, polymerase, nucleotides</t>
  </si>
  <si>
    <t>Denature → anneal → extend → repeat</t>
  </si>
  <si>
    <t>Amplified DNA product</t>
  </si>
  <si>
    <t>Fast, sensitive and inexpensive</t>
  </si>
  <si>
    <t>Contamination and primer bias; targeted only</t>
  </si>
  <si>
    <t>Negative/positive controls, product size, efficiency</t>
  </si>
  <si>
    <t>Thermal cycler</t>
  </si>
  <si>
    <t>Stage 2</t>
  </si>
  <si>
    <t>Quantitative PCR</t>
  </si>
  <si>
    <t>Measure DNA amplification in real time.</t>
  </si>
  <si>
    <t>DNA or cDNA, primers, fluorescent chemistry</t>
  </si>
  <si>
    <t>Amplify while measuring fluorescence → calculate Cq → normalize</t>
  </si>
  <si>
    <t>Cq values and abundance estimates</t>
  </si>
  <si>
    <t>Sensitive and targeted</t>
  </si>
  <si>
    <t>Reference-gene and efficiency assumptions</t>
  </si>
  <si>
    <t>Efficiency, melt curve, controls, replicate variability</t>
  </si>
  <si>
    <t>qPCR instruments</t>
  </si>
  <si>
    <t>Reverse-transcription qPCR</t>
  </si>
  <si>
    <t>Measure selected RNA transcripts after conversion to cDNA.</t>
  </si>
  <si>
    <t>RNA, reverse transcriptase, qPCR reagents</t>
  </si>
  <si>
    <t>Extract RNA → reverse transcribe → qPCR → normalize</t>
  </si>
  <si>
    <t>Transcript abundance estimates</t>
  </si>
  <si>
    <t>Excellent for focused validation</t>
  </si>
  <si>
    <t>Limited targets and normalization bias</t>
  </si>
  <si>
    <t>RNA integrity, no-RT control, reference genes</t>
  </si>
  <si>
    <t>Gel electrophoresis</t>
  </si>
  <si>
    <t>Separate DNA, RNA or proteins by size and charge.</t>
  </si>
  <si>
    <t>Nucleic acids or proteins, gel matrix</t>
  </si>
  <si>
    <t>Load → apply electric field → visualize bands</t>
  </si>
  <si>
    <t>Band pattern and approximate size</t>
  </si>
  <si>
    <t>Simple and visual</t>
  </si>
  <si>
    <t>Limited quantification and resolution</t>
  </si>
  <si>
    <t>Ladder, loading consistency, band quality</t>
  </si>
  <si>
    <t>Agarose or polyacrylamide systems</t>
  </si>
  <si>
    <t>DNA extraction</t>
  </si>
  <si>
    <t>Sample preparation</t>
  </si>
  <si>
    <t>Isolate DNA from cells or tissues.</t>
  </si>
  <si>
    <t>Biological specimen</t>
  </si>
  <si>
    <t>Lyse → remove contaminants → purify → quantify</t>
  </si>
  <si>
    <t>Purified DNA</t>
  </si>
  <si>
    <t>Foundational for genomics</t>
  </si>
  <si>
    <t>Yield, purity and fragmentation vary</t>
  </si>
  <si>
    <t>Concentration, purity, integrity, contamination</t>
  </si>
  <si>
    <t>Column kits, magnetic beads, automation</t>
  </si>
  <si>
    <t>RNA extraction</t>
  </si>
  <si>
    <t>Isolate RNA while minimizing degradation.</t>
  </si>
  <si>
    <t>Cells, tissues or biofluids</t>
  </si>
  <si>
    <t>Stabilize → lyse → remove DNA/protein → purify</t>
  </si>
  <si>
    <t>Purified RNA</t>
  </si>
  <si>
    <t>Foundational for transcriptomics</t>
  </si>
  <si>
    <t>RNA is highly sensitive to handling</t>
  </si>
  <si>
    <t>Integrity, concentration, purity, DNA contamination</t>
  </si>
  <si>
    <t>Sanger sequencing</t>
  </si>
  <si>
    <t>Determine the sequence of a targeted DNA fragment.</t>
  </si>
  <si>
    <t>Purified DNA fragment and primer</t>
  </si>
  <si>
    <t>Chain termination → capillary separation → base calling</t>
  </si>
  <si>
    <t>Electropherogram and sequence</t>
  </si>
  <si>
    <t>Accurate for short targeted regions</t>
  </si>
  <si>
    <t>Low throughput and limited mixed-sample sensitivity</t>
  </si>
  <si>
    <t>Peak quality, read length, bidirectional confirmation</t>
  </si>
  <si>
    <t>Capillary sequencer</t>
  </si>
  <si>
    <t>Stage 3</t>
  </si>
  <si>
    <t>Next-generation sequencing</t>
  </si>
  <si>
    <t>Massively parallel sequencing of millions of DNA molecules.</t>
  </si>
  <si>
    <t>Prepared sequencing library</t>
  </si>
  <si>
    <t>Library generation → sequencing → base calling</t>
  </si>
  <si>
    <t>Sequence reads</t>
  </si>
  <si>
    <t>High throughput and broad applications</t>
  </si>
  <si>
    <t>Platform errors, library bias and substantial processing</t>
  </si>
  <si>
    <t>Read quality, yield, duplication, contamination</t>
  </si>
  <si>
    <t>Short-read sequencing platforms</t>
  </si>
  <si>
    <t>Short-read sequencing</t>
  </si>
  <si>
    <t>Sequence many relatively short fragments at high throughput.</t>
  </si>
  <si>
    <t>DNA or cDNA library</t>
  </si>
  <si>
    <t>Fragment → add adapters → sequence → align/assemble</t>
  </si>
  <si>
    <t>Short sequence reads</t>
  </si>
  <si>
    <t>Accurate, scalable and mature</t>
  </si>
  <si>
    <t>Weak in repeats, isoforms and structural variation</t>
  </si>
  <si>
    <t>Base quality, insert size, duplication, mapping rate</t>
  </si>
  <si>
    <t>Illumina platforms</t>
  </si>
  <si>
    <t>Long-read sequencing</t>
  </si>
  <si>
    <t>Sequence individual DNA or RNA molecules over long distances.</t>
  </si>
  <si>
    <t>High-molecular-weight DNA or RNA</t>
  </si>
  <si>
    <t>Prepare long molecules → sequence → correct/assemble</t>
  </si>
  <si>
    <t>Long reads and isoform or structural information</t>
  </si>
  <si>
    <t>Resolves repeats, haplotypes and full transcripts</t>
  </si>
  <si>
    <t>Higher input needs and platform-specific errors</t>
  </si>
  <si>
    <t>Read length, yield, accuracy, contamination</t>
  </si>
  <si>
    <t>PacBio, Oxford Nanopore</t>
  </si>
  <si>
    <t>Stage 4</t>
  </si>
  <si>
    <t>Whole-genome sequencing</t>
  </si>
  <si>
    <t>Sequence coding and non-coding regions across an entire genome.</t>
  </si>
  <si>
    <t>Genomic DNA</t>
  </si>
  <si>
    <t>Extract → library prep → sequence → align → call variants</t>
  </si>
  <si>
    <t>Genome-wide variant data</t>
  </si>
  <si>
    <t>Broad and reusable</t>
  </si>
  <si>
    <t>Cost, storage and interpretation burden</t>
  </si>
  <si>
    <t>Coverage, contamination, mapping, callable genome</t>
  </si>
  <si>
    <t>BWA, GATK, DeepVariant, DRAGEN</t>
  </si>
  <si>
    <t>Whole-exome sequencing</t>
  </si>
  <si>
    <t>Sequence captured protein-coding exons.</t>
  </si>
  <si>
    <t>Capture exons → sequence → align → call variants</t>
  </si>
  <si>
    <t>Coding-region variant data</t>
  </si>
  <si>
    <t>Lower cost than whole-genome sequencing</t>
  </si>
  <si>
    <t>Misses most regulatory regions and has capture bias</t>
  </si>
  <si>
    <t>Target coverage, uniformity, duplication</t>
  </si>
  <si>
    <t>Exome capture kits, GATK</t>
  </si>
  <si>
    <t>Targeted sequencing panel</t>
  </si>
  <si>
    <t>Sequence a selected gene or region set at high depth.</t>
  </si>
  <si>
    <t>Genomic DNA or cDNA</t>
  </si>
  <si>
    <t>Enrich targets → sequence → call and annotate variants</t>
  </si>
  <si>
    <t>Variants in predefined targets</t>
  </si>
  <si>
    <t>Sensitive and clinically practical</t>
  </si>
  <si>
    <t>Cannot discover outside selected regions</t>
  </si>
  <si>
    <t>Depth, uniformity, LOD, controls</t>
  </si>
  <si>
    <t>Amplicon or hybrid-capture panels</t>
  </si>
  <si>
    <t>RNA sequencing</t>
  </si>
  <si>
    <t>Measure RNA abundance and structure using sequencing.</t>
  </si>
  <si>
    <t>Extract → select/convert RNA → library prep → sequence → quantify</t>
  </si>
  <si>
    <t>Reads, counts and transcript estimates</t>
  </si>
  <si>
    <t>Genome-scale and discovery-oriented</t>
  </si>
  <si>
    <t>Composition, library and batch biases</t>
  </si>
  <si>
    <t>RNA integrity, depth, mapping, duplication, strandedness</t>
  </si>
  <si>
    <t>STAR, Salmon, kallisto, featureCounts</t>
  </si>
  <si>
    <t>Bulk RNA-seq differential expression</t>
  </si>
  <si>
    <t>Identify genes or transcripts differing between conditions.</t>
  </si>
  <si>
    <t>Count matrix and sample metadata</t>
  </si>
  <si>
    <t>QC → normalize → design model → test → control FDR</t>
  </si>
  <si>
    <t>Differential-expression table and plots</t>
  </si>
  <si>
    <t>Powerful and well established</t>
  </si>
  <si>
    <t>Confounding, low replication and composition effects</t>
  </si>
  <si>
    <t>PCA, dispersion, contrasts, batch balance</t>
  </si>
  <si>
    <t>DESeq2, edgeR, limma-voom</t>
  </si>
  <si>
    <t>https://www.bioconductor.org/</t>
  </si>
  <si>
    <t>Single-cell RNA sequencing</t>
  </si>
  <si>
    <t>Single-cell</t>
  </si>
  <si>
    <t>Measure transcriptomes of individual cells.</t>
  </si>
  <si>
    <t>Cell suspension or nuclei</t>
  </si>
  <si>
    <t>Partition → barcode → sequence → count → QC → cluster/annotate</t>
  </si>
  <si>
    <t>Cell-by-gene matrix and cell states</t>
  </si>
  <si>
    <t>Reveals heterogeneity and rare populations</t>
  </si>
  <si>
    <t>Dropout, doublets, dissociation bias and complexity</t>
  </si>
  <si>
    <t>UMIs, genes/cell, mitochondrial fraction, doublets</t>
  </si>
  <si>
    <t>10x Genomics, Scanpy, Seurat</t>
  </si>
  <si>
    <t>Stage 5</t>
  </si>
  <si>
    <t>Single-nucleus RNA sequencing</t>
  </si>
  <si>
    <t>Measure nuclear RNA from individual nuclei.</t>
  </si>
  <si>
    <t>Isolated nuclei</t>
  </si>
  <si>
    <t>Isolate → barcode → sequence → count → analyze</t>
  </si>
  <si>
    <t>Nucleus-by-gene matrix</t>
  </si>
  <si>
    <t>Works with frozen or difficult tissues</t>
  </si>
  <si>
    <t>Different RNA composition from whole cells</t>
  </si>
  <si>
    <t>Nuclei quality, ambient RNA, intronic reads</t>
  </si>
  <si>
    <t>Spatial transcriptomics</t>
  </si>
  <si>
    <t>Spatial biology</t>
  </si>
  <si>
    <t>Measure expression while retaining tissue location.</t>
  </si>
  <si>
    <t>Tissue section</t>
  </si>
  <si>
    <t>Prepare tissue → spatially barcode or image → quantify → map</t>
  </si>
  <si>
    <t>Spatial expression map</t>
  </si>
  <si>
    <t>Connects molecular state with anatomy</t>
  </si>
  <si>
    <t>Resolution, coverage and cost trade-offs</t>
  </si>
  <si>
    <t>Tissue quality, registration, segmentation, background</t>
  </si>
  <si>
    <t>Visium, MERFISH, Xenium, CosMx</t>
  </si>
  <si>
    <t>Stage 6</t>
  </si>
  <si>
    <t>ATAC-seq</t>
  </si>
  <si>
    <t>Map accessible chromatin using transposase insertion.</t>
  </si>
  <si>
    <t>Cells or nuclei</t>
  </si>
  <si>
    <t>Transposition → amplify → sequence → call peaks</t>
  </si>
  <si>
    <t>Accessible-region peaks</t>
  </si>
  <si>
    <t>Fast and relatively low input</t>
  </si>
  <si>
    <t>Cell quality, mitochondrial reads and sequence bias</t>
  </si>
  <si>
    <t>TSS enrichment, fragment size, duplication, FRiP</t>
  </si>
  <si>
    <t>Bowtie2, MACS2, ArchR</t>
  </si>
  <si>
    <t>ChIP-seq</t>
  </si>
  <si>
    <t>Map DNA associated with a protein or histone modification.</t>
  </si>
  <si>
    <t>Crosslinked chromatin and antibody</t>
  </si>
  <si>
    <t>Fragment → immunoprecipitate → sequence → call peaks</t>
  </si>
  <si>
    <t>Binding or histone-mark peaks</t>
  </si>
  <si>
    <t>Genome-wide regulatory mapping</t>
  </si>
  <si>
    <t>Antibody quality and background are major risks</t>
  </si>
  <si>
    <t>Controls, replicate concordance, FRiP, antibody validation</t>
  </si>
  <si>
    <t>Bowtie2, MACS2, ENCODE pipelines</t>
  </si>
  <si>
    <t>Bisulfite sequencing</t>
  </si>
  <si>
    <t>Measure DNA methylation by chemical conversion and sequencing.</t>
  </si>
  <si>
    <t>Bisulfite conversion → sequence → specialized alignment → call methylation</t>
  </si>
  <si>
    <t>Site-level methylation estimates</t>
  </si>
  <si>
    <t>High-resolution methylation measurement</t>
  </si>
  <si>
    <t>DNA damage, conversion bias and specialized analysis</t>
  </si>
  <si>
    <t>Conversion rate, coverage, duplication, mapping</t>
  </si>
  <si>
    <t>Bismark, BS-Seeker</t>
  </si>
  <si>
    <t>Flow cytometry</t>
  </si>
  <si>
    <t>Cell analysis</t>
  </si>
  <si>
    <t>Measure optical and fluorescence features of individual cells.</t>
  </si>
  <si>
    <t>Labeled cell suspension</t>
  </si>
  <si>
    <t>Stain → pass through lasers → detect → gate populations</t>
  </si>
  <si>
    <t>Per-cell measurements and frequencies</t>
  </si>
  <si>
    <t>Fast and multiparametric</t>
  </si>
  <si>
    <t>Panel design, spectral overlap and gating subjectivity</t>
  </si>
  <si>
    <t>Controls, compensation, viability, doublets, gating</t>
  </si>
  <si>
    <t>BD, Cytek, FlowJo</t>
  </si>
  <si>
    <t>Fluorescence-activated cell sorting</t>
  </si>
  <si>
    <t>FACS</t>
  </si>
  <si>
    <t>Physically separate cells using flow-cytometry measurements.</t>
  </si>
  <si>
    <t>Measure → gate → charge droplets → sort</t>
  </si>
  <si>
    <t>Purified cell populations</t>
  </si>
  <si>
    <t>Enables downstream study of selected cells</t>
  </si>
  <si>
    <t>Cell stress and purity-yield trade-offs</t>
  </si>
  <si>
    <t>Purity, viability, sort settings, controls</t>
  </si>
  <si>
    <t>Cell sorters</t>
  </si>
  <si>
    <t>Immunofluorescence microscopy</t>
  </si>
  <si>
    <t>Imaging</t>
  </si>
  <si>
    <t>Visualize proteins or structures using fluorescent antibodies.</t>
  </si>
  <si>
    <t>Fixed cells or tissue</t>
  </si>
  <si>
    <t>Fix → permeabilize → stain → image → quantify</t>
  </si>
  <si>
    <t>Images and spatial intensity measurements</t>
  </si>
  <si>
    <t>Spatial and subcellular information</t>
  </si>
  <si>
    <t>Antibody specificity and imaging bias</t>
  </si>
  <si>
    <t>Controls, exposure, segmentation, background</t>
  </si>
  <si>
    <t>Confocal and widefield microscopes</t>
  </si>
  <si>
    <t>Immunohistochemistry</t>
  </si>
  <si>
    <t>Pathology</t>
  </si>
  <si>
    <t>Detect proteins in tissue sections using antibody staining.</t>
  </si>
  <si>
    <t>Fixed tissue section</t>
  </si>
  <si>
    <t>Prepare → stain → visualize → score</t>
  </si>
  <si>
    <t>Tissue-localized biomarker signal</t>
  </si>
  <si>
    <t>Preserves histological context</t>
  </si>
  <si>
    <t>Pre-analytics and scoring variability</t>
  </si>
  <si>
    <t>Controls, fixation, antibody validation, scoring reproducibility</t>
  </si>
  <si>
    <t>Brightfield scanners, pathology software</t>
  </si>
  <si>
    <t>High-content screening</t>
  </si>
  <si>
    <t>Screening</t>
  </si>
  <si>
    <t>Automated microscopy and image analysis across many perturbations.</t>
  </si>
  <si>
    <t>Cells in multiwell plates</t>
  </si>
  <si>
    <t>Treat → image → segment → extract features → analyze</t>
  </si>
  <si>
    <t>Multiparametric cellular phenotypes</t>
  </si>
  <si>
    <t>Rich phenotypic information at scale</t>
  </si>
  <si>
    <t>Segmentation errors, image artifacts and batch effects</t>
  </si>
  <si>
    <t>Plate controls, focus, segmentation, edge effects</t>
  </si>
  <si>
    <t>Opera Phenix, ImageXpress, CellProfiler</t>
  </si>
  <si>
    <t>Cell viability assay</t>
  </si>
  <si>
    <t>Assays</t>
  </si>
  <si>
    <t>Estimate living cell number or metabolic activity.</t>
  </si>
  <si>
    <t>Cultured cells and treatment conditions</t>
  </si>
  <si>
    <t>Treat → add reagent or image → measure signal</t>
  </si>
  <si>
    <t>Relative viability or cell count</t>
  </si>
  <si>
    <t>Fast and common for screening</t>
  </si>
  <si>
    <t>Metabolic signal may not equal cell number</t>
  </si>
  <si>
    <t>Controls, range, time point, edge effects</t>
  </si>
  <si>
    <t>CellTiter-Glo, resazurin, imaging</t>
  </si>
  <si>
    <t>Enzyme-linked immunosorbent assay</t>
  </si>
  <si>
    <t>ELISA</t>
  </si>
  <si>
    <t>Quantify an analyte using antibody recognition and enzyme signal.</t>
  </si>
  <si>
    <t>Biological sample and standards</t>
  </si>
  <si>
    <t>Capture/bind → detect → develop signal → fit curve</t>
  </si>
  <si>
    <t>Analyte concentration</t>
  </si>
  <si>
    <t>Sensitive, accessible and quantitative</t>
  </si>
  <si>
    <t>Cross-reactivity and matrix effects</t>
  </si>
  <si>
    <t>Standard curve, blanks, controls, replicate CV</t>
  </si>
  <si>
    <t>Plate reader</t>
  </si>
  <si>
    <t>Western blot</t>
  </si>
  <si>
    <t>Protein analysis</t>
  </si>
  <si>
    <t>Detect selected proteins after size separation and membrane transfer.</t>
  </si>
  <si>
    <t>Protein extract and antibodies</t>
  </si>
  <si>
    <t>Separate → transfer → block → probe → image</t>
  </si>
  <si>
    <t>Protein bands and relative abundance</t>
  </si>
  <si>
    <t>Provides approximate size and targeted detection</t>
  </si>
  <si>
    <t>Semi-quantitative and antibody-dependent</t>
  </si>
  <si>
    <t>Loading control, linear range, specificity, transfer</t>
  </si>
  <si>
    <t>Gel and imaging systems</t>
  </si>
  <si>
    <t>Mass spectrometry</t>
  </si>
  <si>
    <t>Analytical science</t>
  </si>
  <si>
    <t>Measure mass-to-charge ratios of ionized molecules.</t>
  </si>
  <si>
    <t>Prepared peptides, metabolites, lipids or molecules</t>
  </si>
  <si>
    <t>Separate/introduce → ionize → analyze ions → identify/quantify</t>
  </si>
  <si>
    <t>Spectra and molecular identifications</t>
  </si>
  <si>
    <t>Sensitive and information-rich</t>
  </si>
  <si>
    <t>Complex preparation and identification uncertainty</t>
  </si>
  <si>
    <t>Mass accuracy, calibration, blanks, standards, FDR</t>
  </si>
  <si>
    <t>Orbitrap, Q-TOF, triple quadrupole</t>
  </si>
  <si>
    <t>Liquid chromatography–tandem mass spectrometry</t>
  </si>
  <si>
    <t>LC-MS/MS</t>
  </si>
  <si>
    <t>Proteomics / metabolomics</t>
  </si>
  <si>
    <t>Separate molecules and identify or quantify them with tandem MS.</t>
  </si>
  <si>
    <t>Peptides or small molecules</t>
  </si>
  <si>
    <t>Separate → ionize → select precursor → fragment → analyze</t>
  </si>
  <si>
    <t>Identified and quantified molecules</t>
  </si>
  <si>
    <t>High selectivity and broad coverage</t>
  </si>
  <si>
    <t>Instrument complexity, missingness and matrix effects</t>
  </si>
  <si>
    <t>Retention time, mass accuracy, standards, blanks, FDR</t>
  </si>
  <si>
    <t>LC coupled to MS/MS</t>
  </si>
  <si>
    <t>Shotgun proteomics</t>
  </si>
  <si>
    <t>Identify many proteins after digestion into peptides and LC-MS/MS.</t>
  </si>
  <si>
    <t>Protein mixture</t>
  </si>
  <si>
    <t>Extract → digest → LC-MS/MS → search → infer proteins → quantify</t>
  </si>
  <si>
    <t>Protein and peptide abundance tables</t>
  </si>
  <si>
    <t>Broad discovery coverage</t>
  </si>
  <si>
    <t>Missingness and protein-inference ambiguity</t>
  </si>
  <si>
    <t>Peptide/protein FDR, digestion, replicates, normalization</t>
  </si>
  <si>
    <t>MaxQuant, Proteome Discoverer, DIA-NN</t>
  </si>
  <si>
    <t>Data-independent acquisition proteomics</t>
  </si>
  <si>
    <t>DIA</t>
  </si>
  <si>
    <t>Systematically fragment broad mass ranges for reproducible quantification.</t>
  </si>
  <si>
    <t>Peptide mixture</t>
  </si>
  <si>
    <t>LC-MS/MS with wide windows → deconvolute → quantify</t>
  </si>
  <si>
    <t>Peptide and protein abundance</t>
  </si>
  <si>
    <t>High reproducibility and depth</t>
  </si>
  <si>
    <t>Computational complexity and library/model dependence</t>
  </si>
  <si>
    <t>Mass accuracy, chromatographic consistency, FDR, missingness</t>
  </si>
  <si>
    <t>DIA-NN, Spectronaut</t>
  </si>
  <si>
    <t>Nuclear magnetic resonance spectroscopy</t>
  </si>
  <si>
    <t>NMR</t>
  </si>
  <si>
    <t>Measure nuclear magnetic properties to determine structure or concentration.</t>
  </si>
  <si>
    <t>Purified molecules or biofluids</t>
  </si>
  <si>
    <t>Magnetic field → excite nuclei → acquire spectrum → interpret</t>
  </si>
  <si>
    <t>Structural or quantitative spectra</t>
  </si>
  <si>
    <t>Reproducible and non-destructive</t>
  </si>
  <si>
    <t>Lower sensitivity than many MS methods</t>
  </si>
  <si>
    <t>Referencing, shimming, standards, sample composition</t>
  </si>
  <si>
    <t>NMR spectrometer</t>
  </si>
  <si>
    <t>CRISPR-Cas genome editing</t>
  </si>
  <si>
    <t>Genome engineering</t>
  </si>
  <si>
    <t>Introduce targeted genetic changes using a guide RNA and nuclease.</t>
  </si>
  <si>
    <t>Cells or organisms, guide RNA, editing system</t>
  </si>
  <si>
    <t>Design guide → deliver → cut or modify → select → validate</t>
  </si>
  <si>
    <t>Edited cells or organisms</t>
  </si>
  <si>
    <t>Programmable and versatile</t>
  </si>
  <si>
    <t>Off-targets, mosaicism and delivery constraints</t>
  </si>
  <si>
    <t>Edit efficiency, genotype, off-targets, phenotype rescue</t>
  </si>
  <si>
    <t>Cas9/Cas12 systems, design tools</t>
  </si>
  <si>
    <t>CRISPR knockout screen</t>
  </si>
  <si>
    <t>Functional genomics</t>
  </si>
  <si>
    <t>Systematically disrupt genes to identify phenotype drivers.</t>
  </si>
  <si>
    <t>Cell population and guide library</t>
  </si>
  <si>
    <t>Deliver library → apply selection → sequence guide abundance → score genes</t>
  </si>
  <si>
    <t>Gene dependency or resistance scores</t>
  </si>
  <si>
    <t>Genome-scale causal perturbation</t>
  </si>
  <si>
    <t>Guide efficiency, bottlenecks and essential-gene effects</t>
  </si>
  <si>
    <t>Library representation, replicate correlation, controls, hit validation</t>
  </si>
  <si>
    <t>MAGeCK, BAGEL, DepMap methods</t>
  </si>
  <si>
    <t>CRISPR interference / activation</t>
  </si>
  <si>
    <t>CRISPRi/a</t>
  </si>
  <si>
    <t>Reduce or increase gene expression without cutting DNA.</t>
  </si>
  <si>
    <t>Cells, guide RNAs and dCas effector</t>
  </si>
  <si>
    <t>Design → deliver → modulate transcription → measure phenotype</t>
  </si>
  <si>
    <t>Gene-regulation perturbation results</t>
  </si>
  <si>
    <t>Reversible and useful for essential genes</t>
  </si>
  <si>
    <t>Variable efficiency and chromatin effects</t>
  </si>
  <si>
    <t>Expression change, controls, guide consistency, rescue</t>
  </si>
  <si>
    <t>dCas9-KRAB and activator systems</t>
  </si>
  <si>
    <t>RNA interference</t>
  </si>
  <si>
    <t>RNAi</t>
  </si>
  <si>
    <t>Reduce gene expression using small RNAs targeting messenger RNA.</t>
  </si>
  <si>
    <t>Cells and siRNA or shRNA</t>
  </si>
  <si>
    <t>Design/deliver RNA → suppress target → measure phenotype</t>
  </si>
  <si>
    <t>Reduced expression and phenotype</t>
  </si>
  <si>
    <t>Accessible and scalable</t>
  </si>
  <si>
    <t>Incomplete knockdown and off-target effects</t>
  </si>
  <si>
    <t>Knockdown efficiency, multiple reagents, rescue</t>
  </si>
  <si>
    <t>siRNA and shRNA libraries</t>
  </si>
  <si>
    <t>Co-immunoprecipitation</t>
  </si>
  <si>
    <t>Co-IP</t>
  </si>
  <si>
    <t>Protein interactions</t>
  </si>
  <si>
    <t>Capture a protein and associated partners using an antibody.</t>
  </si>
  <si>
    <t>Cell lysate and antibody</t>
  </si>
  <si>
    <t>Lyse → immunoprecipitate → wash → detect partners</t>
  </si>
  <si>
    <t>Evidence of protein association</t>
  </si>
  <si>
    <t>Targeted and widely used</t>
  </si>
  <si>
    <t>May capture indirect or lysis-dependent interactions</t>
  </si>
  <si>
    <t>Input/control IP, antibody specificity, reciprocal validation</t>
  </si>
  <si>
    <t>Magnetic beads, Western blot or MS</t>
  </si>
  <si>
    <t>Surface plasmon resonance</t>
  </si>
  <si>
    <t>SPR</t>
  </si>
  <si>
    <t>Biophysics</t>
  </si>
  <si>
    <t>Measure real-time binding kinetics on a sensor surface.</t>
  </si>
  <si>
    <t>Purified binding partners</t>
  </si>
  <si>
    <t>Immobilize → inject analyte → record association/dissociation → fit</t>
  </si>
  <si>
    <t>kon, koff and affinity estimates</t>
  </si>
  <si>
    <t>Label-free kinetic measurement</t>
  </si>
  <si>
    <t>Immobilization and mass-transport artifacts</t>
  </si>
  <si>
    <t>Reference channel, concentration series, fit quality</t>
  </si>
  <si>
    <t>Biacore</t>
  </si>
  <si>
    <t>Isothermal titration calorimetry</t>
  </si>
  <si>
    <t>ITC</t>
  </si>
  <si>
    <t>Measure heat during binding to estimate affinity and thermodynamics.</t>
  </si>
  <si>
    <t>Purified molecules</t>
  </si>
  <si>
    <t>Titrate ligand → measure heat → fit binding model</t>
  </si>
  <si>
    <t>Kd, stoichiometry and enthalpy</t>
  </si>
  <si>
    <t>Label-free and information-rich</t>
  </si>
  <si>
    <t>Requires relatively large amounts and suitable heat signal</t>
  </si>
  <si>
    <t>Concentration accuracy, controls, fit model, aggregation</t>
  </si>
  <si>
    <t>ITC instruments</t>
  </si>
  <si>
    <t>X-ray crystallography</t>
  </si>
  <si>
    <t>Structural biology</t>
  </si>
  <si>
    <t>Determine molecular structure from crystal diffraction.</t>
  </si>
  <si>
    <t>Purified crystallized molecule</t>
  </si>
  <si>
    <t>Crystallize → collect diffraction → solve phases → refine</t>
  </si>
  <si>
    <t>Atomic structural model</t>
  </si>
  <si>
    <t>High structural resolution</t>
  </si>
  <si>
    <t>Crystallization can be difficult and captures selected conformations</t>
  </si>
  <si>
    <t>Resolution, R factors, geometry, electron density</t>
  </si>
  <si>
    <t>Synchrotron or X-ray source</t>
  </si>
  <si>
    <t>Cryogenic electron microscopy</t>
  </si>
  <si>
    <t>Cryo-EM</t>
  </si>
  <si>
    <t>Determine structures by imaging frozen hydrated particles.</t>
  </si>
  <si>
    <t>Purified particles</t>
  </si>
  <si>
    <t>Vitrify → image particles → classify → reconstruct → refine</t>
  </si>
  <si>
    <t>3D density map and model</t>
  </si>
  <si>
    <t>Powerful for large complexes and multiple states</t>
  </si>
  <si>
    <t>Costly and computationally intensive</t>
  </si>
  <si>
    <t>Map resolution, particle distribution, model-map fit</t>
  </si>
  <si>
    <t>Cryo-EM, RELION, cryoSPARC</t>
  </si>
  <si>
    <t>Protein structure prediction</t>
  </si>
  <si>
    <t>Predict a protein's three-dimensional structure from sequence.</t>
  </si>
  <si>
    <t>Protein sequence and optional templates</t>
  </si>
  <si>
    <t>Prepare sequence → run model → assess confidence → validate context</t>
  </si>
  <si>
    <t>Predicted structure and confidence scores</t>
  </si>
  <si>
    <t>Fast access to structural hypotheses</t>
  </si>
  <si>
    <t>Dynamic states, complexes and disorder remain difficult</t>
  </si>
  <si>
    <t>Confidence scores, templates, experimental consistency</t>
  </si>
  <si>
    <t>AlphaFold, RoseTTAFold</t>
  </si>
  <si>
    <t>Sequence alignment</t>
  </si>
  <si>
    <t>Arrange biological sequences to identify similarity and corresponding positions.</t>
  </si>
  <si>
    <t>DNA, RNA or protein sequences</t>
  </si>
  <si>
    <t>Choose scoring → align → inspect matches and gaps</t>
  </si>
  <si>
    <t>Pairwise or multiple alignment</t>
  </si>
  <si>
    <t>Fundamental for homology and variant analysis</t>
  </si>
  <si>
    <t>Depends on scoring and evolutionary assumptions</t>
  </si>
  <si>
    <t>Coverage, identity, gaps, biological plausibility</t>
  </si>
  <si>
    <t>BLAST, MAFFT, Clustal Omega</t>
  </si>
  <si>
    <t>https://blast.ncbi.nlm.nih.gov/Blast.cgi</t>
  </si>
  <si>
    <t>Read alignment</t>
  </si>
  <si>
    <t>Map sequencing reads to a reference.</t>
  </si>
  <si>
    <t>FASTQ reads and reference sequence</t>
  </si>
  <si>
    <t>Index reference → map reads → score/filter → write alignments</t>
  </si>
  <si>
    <t>SAM/BAM/CRAM files</t>
  </si>
  <si>
    <t>Enables coordinate-based analysis</t>
  </si>
  <si>
    <t>Reference bias and ambiguous mapping</t>
  </si>
  <si>
    <t>Mapping rate, insert size, duplicates, coverage, mismatches</t>
  </si>
  <si>
    <t>BWA, Bowtie2, STAR, minimap2</t>
  </si>
  <si>
    <t>De novo assembly</t>
  </si>
  <si>
    <t>Reconstruct longer sequences without a complete reference.</t>
  </si>
  <si>
    <t>Correct/filter → build assembly graph → resolve → polish</t>
  </si>
  <si>
    <t>Contigs and scaffolds</t>
  </si>
  <si>
    <t>Discovers novel sequence and supports non-model organisms</t>
  </si>
  <si>
    <t>Repeats, heterozygosity and contamination complicate assembly</t>
  </si>
  <si>
    <t>N50, completeness, contamination, misassemblies</t>
  </si>
  <si>
    <t>SPAdes, Flye, Canu</t>
  </si>
  <si>
    <t>Variant calling</t>
  </si>
  <si>
    <t>Identify sequence differences between sample and reference.</t>
  </si>
  <si>
    <t>Aligned reads or assembled sequence</t>
  </si>
  <si>
    <t>Preprocess → detect candidates → genotype → filter → annotate</t>
  </si>
  <si>
    <t>VCF file</t>
  </si>
  <si>
    <t>Core genomics workflow</t>
  </si>
  <si>
    <t>Errors vary by platform, region and variant class</t>
  </si>
  <si>
    <t>Depth, allele balance, quality, contamination, truth sets</t>
  </si>
  <si>
    <t>GATK, DeepVariant, Strelka, FreeBayes</t>
  </si>
  <si>
    <t>Variant annotation</t>
  </si>
  <si>
    <t>Add gene, consequence, frequency and evidence information to variants.</t>
  </si>
  <si>
    <t>Variant records and reference databases</t>
  </si>
  <si>
    <t>Normalize → map to transcripts → add population and functional data</t>
  </si>
  <si>
    <t>Annotated variant table</t>
  </si>
  <si>
    <t>Makes variants interpretable</t>
  </si>
  <si>
    <t>Transcript choice, versions and conflicting evidence</t>
  </si>
  <si>
    <t>Genome build, transcript version, normalized representation</t>
  </si>
  <si>
    <t>VEP, SnpEff, ANNOVAR</t>
  </si>
  <si>
    <t>Pathway enrichment analysis</t>
  </si>
  <si>
    <t>Test whether biological sets are overrepresented in a result list.</t>
  </si>
  <si>
    <t>Selected genes and pathway sets</t>
  </si>
  <si>
    <t>Map IDs → choose background → test sets → adjust for multiple testing</t>
  </si>
  <si>
    <t>Enriched pathways and statistics</t>
  </si>
  <si>
    <t>Condenses long gene lists into themes</t>
  </si>
  <si>
    <t>Redundant sets, annotation bias and background choice</t>
  </si>
  <si>
    <t>ID mapping, background universe, FDR, leading genes</t>
  </si>
  <si>
    <t>g:Profiler, clusterProfiler, Enrichr</t>
  </si>
  <si>
    <t>https://reactome.org/</t>
  </si>
  <si>
    <t>Gene set enrichment analysis</t>
  </si>
  <si>
    <t>GSEA</t>
  </si>
  <si>
    <t>Test whether a gene set occurs toward the top or bottom of a ranked list.</t>
  </si>
  <si>
    <t>Ranked genes and gene sets</t>
  </si>
  <si>
    <t>Rank → compute enrichment → permute → adjust</t>
  </si>
  <si>
    <t>Enrichment scores and FDR</t>
  </si>
  <si>
    <t>Uses all ranked genes, not an arbitrary cutoff</t>
  </si>
  <si>
    <t>Sensitive to ranking metric, set size and correlation</t>
  </si>
  <si>
    <t>Gene IDs, ranking distribution, permutation, FDR</t>
  </si>
  <si>
    <t>GSEA, fgsea</t>
  </si>
  <si>
    <t>Survival analysis</t>
  </si>
  <si>
    <t>Biostatistics</t>
  </si>
  <si>
    <t>Analyze time until an event while accounting for censoring.</t>
  </si>
  <si>
    <t>Event times, status and covariates</t>
  </si>
  <si>
    <t>Define origin/event → estimate curves or hazards → assess assumptions</t>
  </si>
  <si>
    <t>Survival curves, hazard ratios and intervals</t>
  </si>
  <si>
    <t>Handles incomplete follow-up</t>
  </si>
  <si>
    <t>Assumptions and informative censoring can bias results</t>
  </si>
  <si>
    <t>Censoring, proportional hazards, follow-up, missingness</t>
  </si>
  <si>
    <t>R survival, lifelines</t>
  </si>
  <si>
    <t>Kaplan–Meier estimation</t>
  </si>
  <si>
    <t>Estimate a survival function with censoring.</t>
  </si>
  <si>
    <t>Time and event status</t>
  </si>
  <si>
    <t>Order events → update survival probability → plot</t>
  </si>
  <si>
    <t>Stepwise survival curve</t>
  </si>
  <si>
    <t>Simple and interpretable</t>
  </si>
  <si>
    <t>Does not adjust for multiple covariates</t>
  </si>
  <si>
    <t>Numbers at risk, censoring marks, confidence intervals</t>
  </si>
  <si>
    <t>R survival, GraphPad Prism</t>
  </si>
  <si>
    <t>Cox proportional-hazards model</t>
  </si>
  <si>
    <t>Model covariate relationships with event hazard.</t>
  </si>
  <si>
    <t>Time, event status and covariates</t>
  </si>
  <si>
    <t>Fit model → estimate hazard ratios → test assumptions</t>
  </si>
  <si>
    <t>Hazard ratios and confidence intervals</t>
  </si>
  <si>
    <t>Handles censoring and covariate adjustment</t>
  </si>
  <si>
    <t>Proportional-hazards assumption may fail</t>
  </si>
  <si>
    <t>Proportional hazards, influential points, events per variable</t>
  </si>
  <si>
    <t>Data analysis</t>
  </si>
  <si>
    <t>Summarize high-dimensional variation with linear components.</t>
  </si>
  <si>
    <t>Numerical feature matrix</t>
  </si>
  <si>
    <t>Scale → decompose → inspect scores and loadings</t>
  </si>
  <si>
    <t>Scores, loadings and explained variance</t>
  </si>
  <si>
    <t>Fast, interpretable and useful for QC</t>
  </si>
  <si>
    <t>Linear and variance-focused</t>
  </si>
  <si>
    <t>Scaling, outliers, explained variance, metadata overlays</t>
  </si>
  <si>
    <t>R, Python scikit-learn</t>
  </si>
  <si>
    <t>Hierarchical clustering</t>
  </si>
  <si>
    <t>Build a tree of nested groups based on similarity.</t>
  </si>
  <si>
    <t>Feature or distance matrix</t>
  </si>
  <si>
    <t>Compute distance → merge clusters iteratively → cut tree</t>
  </si>
  <si>
    <t>Dendrogram and cluster assignments</t>
  </si>
  <si>
    <t>Visual and no initial cluster count required</t>
  </si>
  <si>
    <t>Sensitive to distance, linkage and scaling</t>
  </si>
  <si>
    <t>Distance choice, scaling, stability, metadata</t>
  </si>
  <si>
    <t>R, SciPy, ComplexHeatmap</t>
  </si>
  <si>
    <t>Multiple-testing correction</t>
  </si>
  <si>
    <t>Adjust inference when many hypotheses are tested.</t>
  </si>
  <si>
    <t>A collection of p-values</t>
  </si>
  <si>
    <t>Choose error criterion → apply procedure → interpret adjusted values</t>
  </si>
  <si>
    <t>Adjusted p-values or q-values</t>
  </si>
  <si>
    <t>Reduces false-positive burden</t>
  </si>
  <si>
    <t>Can reduce power and depends on assumptions</t>
  </si>
  <si>
    <t>Number of tests, dependence, chosen error rate</t>
  </si>
  <si>
    <t>Benjamini-Hochberg, Bonferroni</t>
  </si>
  <si>
    <t>Power analysis</t>
  </si>
  <si>
    <t>Estimate sample size or detectable effect under specified assumptions.</t>
  </si>
  <si>
    <t>Expected effect, variance, alpha and target power</t>
  </si>
  <si>
    <t>Define design → specify assumptions → calculate → test sensitivity</t>
  </si>
  <si>
    <t>Sample-size recommendation</t>
  </si>
  <si>
    <t>Makes resource and uncertainty trade-offs explicit</t>
  </si>
  <si>
    <t>Inputs are often uncertain or optimistic</t>
  </si>
  <si>
    <t>Assumption ranges, attrition, multiplicity, design effects</t>
  </si>
  <si>
    <t>G*Power, R pwr, simulation</t>
  </si>
  <si>
    <t>Design of experiments</t>
  </si>
  <si>
    <t>DoE</t>
  </si>
  <si>
    <t>Experimental design</t>
  </si>
  <si>
    <t>Plan efficient experiments across multiple factors.</t>
  </si>
  <si>
    <t>Factors, levels, responses and constraints</t>
  </si>
  <si>
    <t>Define objective → choose design → randomize → run → model → optimize</t>
  </si>
  <si>
    <t>Effect estimates and response surfaces</t>
  </si>
  <si>
    <t>More efficient than one-factor-at-a-time</t>
  </si>
  <si>
    <t>Requires assumptions and disciplined execution</t>
  </si>
  <si>
    <t>Randomization, replication, model adequacy, residuals</t>
  </si>
  <si>
    <t>JMP, Design-Expert, R</t>
  </si>
  <si>
    <t>Machine-learning classification</t>
  </si>
  <si>
    <t>AI / data science</t>
  </si>
  <si>
    <t>Train a model to assign observations to categories.</t>
  </si>
  <si>
    <t>Features and labels</t>
  </si>
  <si>
    <t>Split → preprocess → train → tune → validate → test</t>
  </si>
  <si>
    <t>Class probabilities and labels</t>
  </si>
  <si>
    <t>Supports complex predictive tasks</t>
  </si>
  <si>
    <t>Leakage, overfitting, bias and weak external validity</t>
  </si>
  <si>
    <t>Patient-level splits, calibration, class balance, external validation</t>
  </si>
  <si>
    <t>scikit-learn, XGBoost, PyTorch</t>
  </si>
  <si>
    <t>Natural-language processing</t>
  </si>
  <si>
    <t>NLP</t>
  </si>
  <si>
    <t>AI / knowledge</t>
  </si>
  <si>
    <t>Computational analysis and generation of human language.</t>
  </si>
  <si>
    <t>Documents, notes, publications or queries</t>
  </si>
  <si>
    <t>Clean/embed → train or retrieve → evaluate → review</t>
  </si>
  <si>
    <t>Entities, classifications, summaries or generated text</t>
  </si>
  <si>
    <t>Makes unstructured knowledge computable</t>
  </si>
  <si>
    <t>Ambiguity, hallucination and domain shift</t>
  </si>
  <si>
    <t>Grounding, citation, test sets, human review</t>
  </si>
  <si>
    <t>LLMs, spaCy, biomedical NLP models</t>
  </si>
  <si>
    <t>Generate answers using retrieved external knowledge.</t>
  </si>
  <si>
    <t>Documents, structured data, embeddings and model</t>
  </si>
  <si>
    <t>Index → retrieve → rerank → assemble context → generate → verify</t>
  </si>
  <si>
    <t>Grounded answer with evidence links</t>
  </si>
  <si>
    <t>Updates knowledge without retraining</t>
  </si>
  <si>
    <t>Retrieval failures and unsupported synthesis remain possible</t>
  </si>
  <si>
    <t>Retrieval recall, citation correctness, faithfulness, permissions</t>
  </si>
  <si>
    <t>Vector databases, search engines, LLMs</t>
  </si>
  <si>
    <t>Knowledge-graph construction</t>
  </si>
  <si>
    <t>Knowledge engineering</t>
  </si>
  <si>
    <t>Create linked entities and relationships from curated or extracted evidence.</t>
  </si>
  <si>
    <t>Databases, ontologies, documents and identifiers</t>
  </si>
  <si>
    <t>Model schema → resolve entities → link → attach provenance → validate</t>
  </si>
  <si>
    <t>Queryable scientific knowledge graph</t>
  </si>
  <si>
    <t>Connects evidence across silos</t>
  </si>
  <si>
    <t>Entity ambiguity, ontology alignment and maintenance cost</t>
  </si>
  <si>
    <t>Identifier quality, provenance, relation validation, coverage</t>
  </si>
  <si>
    <t>Neo4j, RDF stores, ontology tools</t>
  </si>
  <si>
    <t>https://obofoundry.org/</t>
  </si>
  <si>
    <t>Protocol versioning and execution capture</t>
  </si>
  <si>
    <t>Research operations</t>
  </si>
  <si>
    <t>Manage protocol changes and link each execution to the exact version used.</t>
  </si>
  <si>
    <t>Protocols, experiment runs and deviations</t>
  </si>
  <si>
    <t>Approve version → execute → capture parameters/deviations → link outputs</t>
  </si>
  <si>
    <t>Traceable experiment record</t>
  </si>
  <si>
    <t>Improves reproducibility and organizational memory</t>
  </si>
  <si>
    <t>Requires disciplined adoption and usable interfaces</t>
  </si>
  <si>
    <t>Version ID, timestamps, approvals, deviations, linked samples</t>
  </si>
  <si>
    <t>ELN, LIMS and workflow platforms</t>
  </si>
  <si>
    <t>Stage</t>
  </si>
  <si>
    <t>Theme</t>
  </si>
  <si>
    <t>Goal</t>
  </si>
  <si>
    <t>Core concepts to master</t>
  </si>
  <si>
    <t>Methods to recognize</t>
  </si>
  <si>
    <t>Practical exercise</t>
  </si>
  <si>
    <t>Suggested hours</t>
  </si>
  <si>
    <t>Evidence of completion</t>
  </si>
  <si>
    <t>The language of biology</t>
  </si>
  <si>
    <t>Understand cells, molecules, genes and biological organization.</t>
  </si>
  <si>
    <t>Cell, DNA, RNA, protein, gene, genome, phenotype, pathway, metabolism</t>
  </si>
  <si>
    <t>Microscopy, cell culture, basic assays</t>
  </si>
  <si>
    <t>Explain the flow from DNA to RNA to protein and connect it to one disease example.</t>
  </si>
  <si>
    <t>How laboratory evidence is created</t>
  </si>
  <si>
    <t>Understand samples, controls, assays, protocols and quality.</t>
  </si>
  <si>
    <t>Sample, replicate, control, endpoint, assay, QC, batch effect, SOP</t>
  </si>
  <si>
    <t>PCR, qPCR, ELISA, Western blot, flow cytometry, cell viability</t>
  </si>
  <si>
    <t>Design a treated-versus-control experiment with replicates and QC checks.</t>
  </si>
  <si>
    <t>Genomics and transcriptomics</t>
  </si>
  <si>
    <t>Follow sequencing data from sample to interpretable result.</t>
  </si>
  <si>
    <t>Reference genome, read, alignment, variant, count matrix, differential expression, FDR</t>
  </si>
  <si>
    <t>NGS, RNA-seq, alignment, PCA, differential expression</t>
  </si>
  <si>
    <t>Sketch the lineage from tissue sample to a differential-expression figure.</t>
  </si>
  <si>
    <t>Bioinformatics and reproducible analysis</t>
  </si>
  <si>
    <t>Understand pipelines, formats, statistics and computational provenance.</t>
  </si>
  <si>
    <t>Raw/processed data, metadata, schema, pipeline, version control, container, effect size</t>
  </si>
  <si>
    <t>Variant calling, pathway enrichment, power analysis, workflow execution</t>
  </si>
  <si>
    <t>Review an analysis and list every input, version, parameter, QC decision and output.</t>
  </si>
  <si>
    <t>Functional and multi-omics biology</t>
  </si>
  <si>
    <t>Connect molecular layers and perturbations to mechanisms.</t>
  </si>
  <si>
    <t>Epigenetics, PTMs, metabolomics, single-cell, spatial biology, causal perturbation</t>
  </si>
  <si>
    <t>ATAC-seq, ChIP-seq, proteomics, CRISPR, single-cell RNA-seq</t>
  </si>
  <si>
    <t>Create a multi-omics map linking each assay to the question it answers.</t>
  </si>
  <si>
    <t>Drug discovery and translation</t>
  </si>
  <si>
    <t>Understand how a biological hypothesis becomes a candidate therapy.</t>
  </si>
  <si>
    <t>Target, validation, hit, lead, MoA, PK/PD, ADME, biomarker, therapeutic window</t>
  </si>
  <si>
    <t>Screening, dose-response, binding assays, preclinical studies</t>
  </si>
  <si>
    <t>Build a target-to-candidate evidence checklist for a hypothetical program.</t>
  </si>
  <si>
    <t>Clinical research and regulation</t>
  </si>
  <si>
    <t>Understand phases, endpoints, safety and evidence standards.</t>
  </si>
  <si>
    <t>Clinical trial, phase, randomization, consent, AE/SAE, endpoints, RWD/RWE</t>
  </si>
  <si>
    <t>RCTs, survival analysis, pharmacovigilance, GCP</t>
  </si>
  <si>
    <t>Compare Phase I, II and III by purpose, data and decisions.</t>
  </si>
  <si>
    <t>Scientific platforms and AI</t>
  </si>
  <si>
    <t>Understand how data, governance and AI support R&amp;D teams.</t>
  </si>
  <si>
    <t>ELN, LIMS, FAIR, ontology, knowledge graph, provenance, RAG, agent, validation</t>
  </si>
  <si>
    <t>Data integration, semantic search, knowledge graphs, scientific agents</t>
  </si>
  <si>
    <t>Map an R&amp;D project across people, tools, files, analyses, decisions and reusable knowledge.</t>
  </si>
  <si>
    <t>Date</t>
  </si>
  <si>
    <t>Term or methodology</t>
  </si>
  <si>
    <t>What I learned in my own words</t>
  </si>
  <si>
    <t>What remains unclear</t>
  </si>
  <si>
    <t>Confidence before</t>
  </si>
  <si>
    <t>Confidence after</t>
  </si>
  <si>
    <t>Next action</t>
  </si>
  <si>
    <t>Reference / link</t>
  </si>
  <si>
    <t>Source</t>
  </si>
  <si>
    <t>Best for</t>
  </si>
  <si>
    <t>URL</t>
  </si>
  <si>
    <t>NHGRI Genetics Glossary</t>
  </si>
  <si>
    <t>Genetics and genomics terminology</t>
  </si>
  <si>
    <t>NCBI Bookshelf</t>
  </si>
  <si>
    <t>Molecular biology, genetics, bioinformatics and medicine</t>
  </si>
  <si>
    <t>EMBL-EBI Training</t>
  </si>
  <si>
    <t>Bioinformatics, omics and biological databases</t>
  </si>
  <si>
    <t>Gene Ontology</t>
  </si>
  <si>
    <t>Standardized descriptions of gene functions</t>
  </si>
  <si>
    <t>https://geneontology.org/</t>
  </si>
  <si>
    <t>Reactome</t>
  </si>
  <si>
    <t>Biological pathways and reactions</t>
  </si>
  <si>
    <t>ENCODE</t>
  </si>
  <si>
    <t>Functional genomics and regulatory elements</t>
  </si>
  <si>
    <t>Bioconductor</t>
  </si>
  <si>
    <t>Reproducible genomic analysis in R</t>
  </si>
  <si>
    <t>Galaxy Training Network</t>
  </si>
  <si>
    <t>Hands-on bioinformatics workflows</t>
  </si>
  <si>
    <t>https://training.galaxyproject.org/</t>
  </si>
  <si>
    <t>UniProt</t>
  </si>
  <si>
    <t>Protein sequences and functional annotation</t>
  </si>
  <si>
    <t>ChEMBL</t>
  </si>
  <si>
    <t>Bioactive molecules and drug discovery data</t>
  </si>
  <si>
    <t>https://www.ebi.ac.uk/chembl/</t>
  </si>
  <si>
    <t>ClinicalTrials.gov</t>
  </si>
  <si>
    <t>Clinical study records and terminology</t>
  </si>
  <si>
    <t>FDA</t>
  </si>
  <si>
    <t>Drug development and regulatory science</t>
  </si>
  <si>
    <t>ICH Guidelines</t>
  </si>
  <si>
    <t>International pharmaceutical quality and clinical standards</t>
  </si>
  <si>
    <t>https://www.ich.org/</t>
  </si>
  <si>
    <t>OECD GLP</t>
  </si>
  <si>
    <t>Good Laboratory Practice principles</t>
  </si>
  <si>
    <t>FAIR Principles</t>
  </si>
  <si>
    <t>Scientific data management</t>
  </si>
  <si>
    <t>GA4GH</t>
  </si>
  <si>
    <t>Genomic standards and responsible sharing</t>
  </si>
  <si>
    <t>https://www.ga4gh.org/</t>
  </si>
  <si>
    <t>OBO Foundry</t>
  </si>
  <si>
    <t>Biomedical ontologies</t>
  </si>
  <si>
    <t>W3C PROV</t>
  </si>
  <si>
    <t>Data provenance standards</t>
  </si>
  <si>
    <t>https://www.w3.org/TR/prov-overview/</t>
  </si>
  <si>
    <t>NIST AI</t>
  </si>
  <si>
    <t>AI standards and risk management</t>
  </si>
  <si>
    <t>Learning stage</t>
  </si>
  <si>
    <t>Stage 1</t>
  </si>
  <si>
    <t>Stage 7</t>
  </si>
  <si>
    <t>Stage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</si>
</sst>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22"/>
      <color rgb="FFFFFFFF"/>
      <name val="Carlito"/>
    </font>
    <font>
      <i/>
      <sz val="11"/>
      <color rgb="FF5E737B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2D37"/>
      </patternFill>
    </fill>
    <fill>
      <patternFill patternType="solid">
        <fgColor rgb="FFF0FAFB"/>
      </patternFill>
    </fill>
    <fill>
      <patternFill patternType="solid">
        <fgColor rgb="FF4EB1C2"/>
      </patternFill>
    </fill>
  </fills>
  <borders count="2">
    <border>
      <left/>
      <right/>
      <top/>
      <bottom/>
      <diagonal/>
    </border>
    <border>
      <left/>
      <right/>
      <top/>
      <bottom style="thin">
        <color rgb="FF4EB1C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vertical="top" wrapText="1"/>
    </xf>
    <xf numFmtId="9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2">
    <dxf>
      <fill>
        <patternFill patternType="solid">
          <bgColor rgb="FFF2EFFF"/>
        </patternFill>
      </fill>
    </dxf>
    <dxf>
      <fill>
        <patternFill patternType="solid">
          <bgColor rgb="FFFFF7D6"/>
        </patternFill>
      </fill>
    </dxf>
    <dxf>
      <font>
        <b/>
        <color rgb="FF17633A"/>
      </font>
      <fill>
        <patternFill patternType="solid">
          <bgColor rgb="FFEAF8F1"/>
        </patternFill>
      </fill>
    </dxf>
    <dxf>
      <fill>
        <patternFill patternType="solid">
          <bgColor rgb="FFF2EFFF"/>
        </patternFill>
      </fill>
    </dxf>
    <dxf>
      <fill>
        <patternFill patternType="solid">
          <bgColor rgb="FFFFF7D6"/>
        </patternFill>
      </fill>
    </dxf>
    <dxf>
      <font>
        <b/>
        <color rgb="FF17633A"/>
      </font>
      <fill>
        <patternFill patternType="solid">
          <bgColor rgb="FFEAF8F1"/>
        </patternFill>
      </fill>
    </dxf>
    <dxf>
      <font>
        <b/>
      </font>
      <fill>
        <patternFill patternType="solid">
          <bgColor rgb="FFFCECEC"/>
        </patternFill>
      </fill>
    </dxf>
    <dxf>
      <fill>
        <patternFill patternType="solid">
          <bgColor rgb="FFF2EFFF"/>
        </patternFill>
      </fill>
    </dxf>
    <dxf>
      <fill>
        <patternFill patternType="solid">
          <bgColor rgb="FFFFF7D6"/>
        </patternFill>
      </fill>
    </dxf>
    <dxf>
      <font>
        <b/>
        <color rgb="FF17633A"/>
      </font>
      <fill>
        <patternFill patternType="solid">
          <bgColor rgb="FFEAF8F1"/>
        </patternFill>
      </fill>
    </dxf>
    <dxf>
      <fill>
        <patternFill patternType="solid">
          <bgColor rgb="FFFFF7D6"/>
        </patternFill>
      </fill>
    </dxf>
    <dxf>
      <font>
        <b/>
      </font>
      <fill>
        <patternFill patternType="solid">
          <bgColor rgb="FFFC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Glossary progress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Count</c:v>
          </c:tx>
          <c:cat>
            <c:strRef>
              <c:f>'Start Here'!$A$14:$A$17</c:f>
              <c:strCache>
                <c:ptCount val="4"/>
                <c:pt idx="0">
                  <c:v>Not started</c:v>
                </c:pt>
                <c:pt idx="1">
                  <c:v>Learning</c:v>
                </c:pt>
                <c:pt idx="2">
                  <c:v>Reviewed</c:v>
                </c:pt>
                <c:pt idx="3">
                  <c:v>Confident</c:v>
                </c:pt>
              </c:strCache>
            </c:strRef>
          </c:cat>
          <c:val>
            <c:numRef>
              <c:f>'Start Here'!$B$14:$B$17</c:f>
              <c:numCache>
                <c:formatCode>General</c:formatCode>
                <c:ptCount val="4"/>
                <c:pt idx="0">
                  <c:v>341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9-D94F-9D20-0E73EF347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ssaryTable" displayName="GlossaryTable" ref="A1:O342">
  <tableColumns count="15">
    <tableColumn id="1" xr3:uid="{00000000-0010-0000-0000-000001000000}" name="ID"/>
    <tableColumn id="2" xr3:uid="{00000000-0010-0000-0000-000002000000}" name="Term"/>
    <tableColumn id="3" xr3:uid="{00000000-0010-0000-0000-000003000000}" name="Acronym"/>
    <tableColumn id="4" xr3:uid="{00000000-0010-0000-0000-000004000000}" name="Domain"/>
    <tableColumn id="5" xr3:uid="{00000000-0010-0000-0000-000005000000}" name="Level"/>
    <tableColumn id="6" xr3:uid="{00000000-0010-0000-0000-000006000000}" name="Definition"/>
    <tableColumn id="7" xr3:uid="{00000000-0010-0000-0000-000007000000}" name="Why it matters"/>
    <tableColumn id="8" xr3:uid="{00000000-0010-0000-0000-000008000000}" name="Example"/>
    <tableColumn id="9" xr3:uid="{00000000-0010-0000-0000-000009000000}" name="Related concepts"/>
    <tableColumn id="10" xr3:uid="{00000000-0010-0000-0000-00000A000000}" name="Common confusion"/>
    <tableColumn id="12" xr3:uid="{00000000-0010-0000-0000-00000C000000}" name="Priority"/>
    <tableColumn id="13" xr3:uid="{00000000-0010-0000-0000-00000D000000}" name="Status"/>
    <tableColumn id="14" xr3:uid="{00000000-0010-0000-0000-00000E000000}" name="Confidence (1-5)"/>
    <tableColumn id="15" xr3:uid="{00000000-0010-0000-0000-00000F000000}" name="Personal notes"/>
    <tableColumn id="16" xr3:uid="{00000000-0010-0000-0000-000010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hodologiesTable" displayName="MethodologiesTable" ref="A1:Q65">
  <tableColumns count="17">
    <tableColumn id="1" xr3:uid="{00000000-0010-0000-0100-000001000000}" name="ID"/>
    <tableColumn id="2" xr3:uid="{00000000-0010-0000-0100-000002000000}" name="Methodology"/>
    <tableColumn id="3" xr3:uid="{00000000-0010-0000-0100-000003000000}" name="Category"/>
    <tableColumn id="4" xr3:uid="{00000000-0010-0000-0100-000004000000}" name="Level"/>
    <tableColumn id="5" xr3:uid="{00000000-0010-0000-0100-000005000000}" name="Purpose"/>
    <tableColumn id="6" xr3:uid="{00000000-0010-0000-0100-000006000000}" name="Typical inputs"/>
    <tableColumn id="7" xr3:uid="{00000000-0010-0000-0100-000007000000}" name="Simplified workflow"/>
    <tableColumn id="8" xr3:uid="{00000000-0010-0000-0100-000008000000}" name="Typical outputs"/>
    <tableColumn id="9" xr3:uid="{00000000-0010-0000-0100-000009000000}" name="Strengths"/>
    <tableColumn id="10" xr3:uid="{00000000-0010-0000-0100-00000A000000}" name="Limitations / risks"/>
    <tableColumn id="11" xr3:uid="{00000000-0010-0000-0100-00000B000000}" name="Key QC checks"/>
    <tableColumn id="12" xr3:uid="{00000000-0010-0000-0100-00000C000000}" name="Common tools / platforms"/>
    <tableColumn id="13" xr3:uid="{00000000-0010-0000-0100-00000D000000}" name="When to learn"/>
    <tableColumn id="14" xr3:uid="{00000000-0010-0000-0100-00000E000000}" name="Priority"/>
    <tableColumn id="15" xr3:uid="{00000000-0010-0000-0100-00000F000000}" name="Status"/>
    <tableColumn id="16" xr3:uid="{00000000-0010-0000-0100-000010000000}" name="Personal notes"/>
    <tableColumn id="17" xr3:uid="{00000000-0010-0000-0100-000011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earningPathTable" displayName="LearningPathTable" ref="A1:I9">
  <tableColumns count="9">
    <tableColumn id="1" xr3:uid="{00000000-0010-0000-0200-000001000000}" name="Stage"/>
    <tableColumn id="2" xr3:uid="{00000000-0010-0000-0200-000002000000}" name="Theme"/>
    <tableColumn id="3" xr3:uid="{00000000-0010-0000-0200-000003000000}" name="Goal"/>
    <tableColumn id="4" xr3:uid="{00000000-0010-0000-0200-000004000000}" name="Core concepts to master"/>
    <tableColumn id="5" xr3:uid="{00000000-0010-0000-0200-000005000000}" name="Methods to recognize"/>
    <tableColumn id="6" xr3:uid="{00000000-0010-0000-0200-000006000000}" name="Practical exercise"/>
    <tableColumn id="7" xr3:uid="{00000000-0010-0000-0200-000007000000}" name="Suggested hours"/>
    <tableColumn id="8" xr3:uid="{00000000-0010-0000-0200-000008000000}" name="Status"/>
    <tableColumn id="9" xr3:uid="{00000000-0010-0000-0200-000009000000}" name="Evidence of comple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earningLogTable" displayName="LearningLogTable" ref="A1:I151">
  <tableColumns count="9">
    <tableColumn id="1" xr3:uid="{00000000-0010-0000-0300-000001000000}" name="Date"/>
    <tableColumn id="2" xr3:uid="{00000000-0010-0000-0300-000002000000}" name="Term or methodology"/>
    <tableColumn id="3" xr3:uid="{00000000-0010-0000-0300-000003000000}" name="Domain"/>
    <tableColumn id="4" xr3:uid="{00000000-0010-0000-0300-000004000000}" name="What I learned in my own words"/>
    <tableColumn id="5" xr3:uid="{00000000-0010-0000-0300-000005000000}" name="What remains unclear"/>
    <tableColumn id="6" xr3:uid="{00000000-0010-0000-0300-000006000000}" name="Confidence before"/>
    <tableColumn id="7" xr3:uid="{00000000-0010-0000-0300-000007000000}" name="Confidence after"/>
    <tableColumn id="8" xr3:uid="{00000000-0010-0000-0300-000008000000}" name="Next action"/>
    <tableColumn id="9" xr3:uid="{00000000-0010-0000-0300-000009000000}" name="Reference / 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Table" displayName="SourcesTable" ref="A1:C20">
  <tableColumns count="3">
    <tableColumn id="1" xr3:uid="{00000000-0010-0000-0400-000001000000}" name="Source"/>
    <tableColumn id="2" xr3:uid="{00000000-0010-0000-0400-000002000000}" name="Best for"/>
    <tableColumn id="3" xr3:uid="{00000000-0010-0000-0400-000003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sqref="A1:H1"/>
    </sheetView>
  </sheetViews>
  <sheetFormatPr baseColWidth="10" defaultColWidth="8.83203125" defaultRowHeight="15"/>
  <cols>
    <col min="1" max="1" width="24" customWidth="1"/>
    <col min="2" max="3" width="18" customWidth="1"/>
    <col min="4" max="8" width="16" customWidth="1"/>
    <col min="9" max="15" width="12" customWidth="1"/>
  </cols>
  <sheetData>
    <row r="1" spans="1:8" ht="50.75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8" ht="37.25" customHeight="1">
      <c r="A2" s="9" t="s">
        <v>1</v>
      </c>
      <c r="B2" s="9"/>
      <c r="C2" s="9"/>
      <c r="D2" s="9"/>
      <c r="E2" s="9"/>
      <c r="F2" s="9"/>
      <c r="G2" s="9"/>
      <c r="H2" s="9"/>
    </row>
    <row r="4" spans="1:8" ht="16">
      <c r="A4" s="3" t="s">
        <v>2</v>
      </c>
      <c r="B4" s="3" t="s">
        <v>3</v>
      </c>
      <c r="C4" s="2"/>
      <c r="D4" s="10" t="s">
        <v>4</v>
      </c>
      <c r="E4" s="10"/>
      <c r="F4" s="10"/>
      <c r="G4" s="10"/>
      <c r="H4" s="10"/>
    </row>
    <row r="5" spans="1:8" ht="45.25" customHeight="1">
      <c r="A5" s="2" t="s">
        <v>5</v>
      </c>
      <c r="B5" s="2">
        <f>COUNTA(Glossary!B2:B1000)</f>
        <v>341</v>
      </c>
      <c r="C5" s="2"/>
      <c r="D5" s="5" t="s">
        <v>6</v>
      </c>
      <c r="E5" s="11" t="s">
        <v>7</v>
      </c>
      <c r="F5" s="11"/>
      <c r="G5" s="11"/>
      <c r="H5" s="11"/>
    </row>
    <row r="6" spans="1:8" ht="45.25" customHeight="1">
      <c r="A6" s="2" t="s">
        <v>8</v>
      </c>
      <c r="B6" s="2">
        <f>COUNTA(Methodologies!B2:B500)</f>
        <v>64</v>
      </c>
      <c r="C6" s="2"/>
      <c r="D6" s="5" t="s">
        <v>9</v>
      </c>
      <c r="E6" s="11" t="s">
        <v>10</v>
      </c>
      <c r="F6" s="11"/>
      <c r="G6" s="11"/>
      <c r="H6" s="11"/>
    </row>
    <row r="7" spans="1:8" ht="45.25" customHeight="1">
      <c r="A7" s="2" t="s">
        <v>11</v>
      </c>
      <c r="B7" s="2">
        <f>COUNTIF(Glossary!L2:L1000,"Confident")</f>
        <v>0</v>
      </c>
      <c r="C7" s="2"/>
      <c r="D7" s="5" t="s">
        <v>12</v>
      </c>
      <c r="E7" s="11" t="s">
        <v>13</v>
      </c>
      <c r="F7" s="11"/>
      <c r="G7" s="11"/>
      <c r="H7" s="11"/>
    </row>
    <row r="8" spans="1:8" ht="45.25" customHeight="1">
      <c r="A8" s="2" t="s">
        <v>14</v>
      </c>
      <c r="B8" s="2">
        <f>COUNTIF(Methodologies!O2:O500,"Confident")</f>
        <v>0</v>
      </c>
      <c r="C8" s="2"/>
      <c r="D8" s="5" t="s">
        <v>15</v>
      </c>
      <c r="E8" s="11" t="s">
        <v>16</v>
      </c>
      <c r="F8" s="11"/>
      <c r="G8" s="11"/>
      <c r="H8" s="11"/>
    </row>
    <row r="9" spans="1:8" ht="45.25" customHeight="1">
      <c r="A9" s="2" t="s">
        <v>17</v>
      </c>
      <c r="B9" s="4">
        <f>IFERROR((B7+B8)/(B5+B6),0)</f>
        <v>0</v>
      </c>
      <c r="C9" s="2"/>
      <c r="D9" s="5" t="s">
        <v>18</v>
      </c>
      <c r="E9" s="11" t="s">
        <v>19</v>
      </c>
      <c r="F9" s="11"/>
      <c r="G9" s="11"/>
      <c r="H9" s="11"/>
    </row>
    <row r="10" spans="1:8" ht="45.25" customHeight="1">
      <c r="A10" s="2" t="s">
        <v>20</v>
      </c>
      <c r="B10" s="2">
        <f>COUNTIF('Learning Log'!B2:B151,"?*")</f>
        <v>0</v>
      </c>
      <c r="C10" s="2"/>
      <c r="D10" s="5" t="s">
        <v>21</v>
      </c>
      <c r="E10" s="11" t="s">
        <v>22</v>
      </c>
      <c r="F10" s="11"/>
      <c r="G10" s="11"/>
      <c r="H10" s="11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 ht="16">
      <c r="A13" s="3" t="s">
        <v>23</v>
      </c>
      <c r="B13" s="3" t="s">
        <v>24</v>
      </c>
      <c r="C13" s="2"/>
      <c r="D13" s="3" t="s">
        <v>25</v>
      </c>
      <c r="E13" s="3" t="s">
        <v>24</v>
      </c>
      <c r="F13" s="2"/>
      <c r="G13" s="2"/>
      <c r="H13" s="2"/>
    </row>
    <row r="14" spans="1:8" ht="16">
      <c r="A14" s="2" t="s">
        <v>26</v>
      </c>
      <c r="B14" s="2">
        <f>COUNTIF(Glossary!L2:L1000,A14)</f>
        <v>341</v>
      </c>
      <c r="C14" s="2"/>
      <c r="D14" s="2" t="s">
        <v>27</v>
      </c>
      <c r="E14" s="2">
        <f>COUNTIF(Glossary!K2:K1000,D14)</f>
        <v>198</v>
      </c>
      <c r="F14" s="2"/>
      <c r="G14" s="2"/>
      <c r="H14" s="2"/>
    </row>
    <row r="15" spans="1:8" ht="16">
      <c r="A15" s="2" t="s">
        <v>28</v>
      </c>
      <c r="B15" s="2">
        <f>COUNTIF(Glossary!L2:L1000,A15)</f>
        <v>0</v>
      </c>
      <c r="C15" s="2"/>
      <c r="D15" s="2" t="s">
        <v>29</v>
      </c>
      <c r="E15" s="2">
        <f>COUNTIF(Glossary!K2:K1000,D15)</f>
        <v>141</v>
      </c>
      <c r="F15" s="2"/>
      <c r="G15" s="2"/>
      <c r="H15" s="2"/>
    </row>
    <row r="16" spans="1:8" ht="16">
      <c r="A16" s="2" t="s">
        <v>30</v>
      </c>
      <c r="B16" s="2">
        <f>COUNTIF(Glossary!L2:L1000,A16)</f>
        <v>0</v>
      </c>
      <c r="C16" s="2"/>
      <c r="D16" s="2" t="s">
        <v>31</v>
      </c>
      <c r="E16" s="2">
        <f>COUNTIF(Glossary!K2:K1000,D16)</f>
        <v>2</v>
      </c>
      <c r="F16" s="2"/>
      <c r="G16" s="2"/>
      <c r="H16" s="2"/>
    </row>
    <row r="17" spans="1:8" ht="16">
      <c r="A17" s="2" t="s">
        <v>32</v>
      </c>
      <c r="B17" s="2">
        <f>COUNTIF(Glossary!L2:L1000,A17)</f>
        <v>0</v>
      </c>
      <c r="C17" s="2"/>
      <c r="D17" s="2" t="s">
        <v>33</v>
      </c>
      <c r="E17" s="2">
        <f>SUM(E14:E16)</f>
        <v>341</v>
      </c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10" t="s">
        <v>34</v>
      </c>
      <c r="B20" s="10"/>
      <c r="C20" s="10"/>
      <c r="D20" s="10"/>
      <c r="E20" s="10"/>
      <c r="F20" s="10"/>
      <c r="G20" s="10"/>
      <c r="H20" s="10"/>
    </row>
    <row r="21" spans="1:8" ht="16">
      <c r="A21" s="2" t="s">
        <v>35</v>
      </c>
      <c r="B21" s="2" t="s">
        <v>36</v>
      </c>
      <c r="C21" s="2" t="s">
        <v>37</v>
      </c>
      <c r="D21" s="2" t="s">
        <v>38</v>
      </c>
      <c r="E21" s="2" t="s">
        <v>39</v>
      </c>
      <c r="F21" s="2" t="s">
        <v>40</v>
      </c>
      <c r="G21" s="2" t="s">
        <v>41</v>
      </c>
      <c r="H21" s="2" t="s">
        <v>42</v>
      </c>
    </row>
    <row r="22" spans="1:8" ht="16">
      <c r="A22" s="2" t="s">
        <v>43</v>
      </c>
      <c r="B22" s="2" t="s">
        <v>44</v>
      </c>
      <c r="C22" s="2" t="s">
        <v>45</v>
      </c>
      <c r="D22" s="2" t="s">
        <v>46</v>
      </c>
      <c r="E22" s="2" t="s">
        <v>47</v>
      </c>
      <c r="F22" s="2" t="s">
        <v>48</v>
      </c>
      <c r="G22" s="2" t="s">
        <v>49</v>
      </c>
      <c r="H22" s="2" t="s">
        <v>50</v>
      </c>
    </row>
    <row r="23" spans="1:8" ht="32">
      <c r="A23" s="2" t="s">
        <v>51</v>
      </c>
      <c r="B23" s="2" t="s">
        <v>52</v>
      </c>
      <c r="C23" s="2" t="s">
        <v>53</v>
      </c>
      <c r="D23" s="2" t="s">
        <v>54</v>
      </c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 ht="73.25" customHeight="1">
      <c r="A25" s="2" t="s">
        <v>55</v>
      </c>
      <c r="B25" s="7" t="s">
        <v>56</v>
      </c>
      <c r="C25" s="7"/>
      <c r="D25" s="7"/>
      <c r="E25" s="7"/>
      <c r="F25" s="7"/>
      <c r="G25" s="7"/>
      <c r="H25" s="7"/>
    </row>
    <row r="26" spans="1:8" ht="73.25" customHeight="1">
      <c r="A26" s="2" t="s">
        <v>57</v>
      </c>
      <c r="B26" s="7" t="s">
        <v>58</v>
      </c>
      <c r="C26" s="7"/>
      <c r="D26" s="7"/>
      <c r="E26" s="7"/>
      <c r="F26" s="7"/>
      <c r="G26" s="7"/>
      <c r="H26" s="7"/>
    </row>
  </sheetData>
  <mergeCells count="12">
    <mergeCell ref="B25:H25"/>
    <mergeCell ref="B26:H26"/>
    <mergeCell ref="A1:H1"/>
    <mergeCell ref="A2:H2"/>
    <mergeCell ref="D4:H4"/>
    <mergeCell ref="A20:H20"/>
    <mergeCell ref="E5:H5"/>
    <mergeCell ref="E6:H6"/>
    <mergeCell ref="E7:H7"/>
    <mergeCell ref="E8:H8"/>
    <mergeCell ref="E9:H9"/>
    <mergeCell ref="E10:H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2"/>
  <sheetViews>
    <sheetView tabSelected="1" workbookViewId="0">
      <selection activeCell="D8" sqref="D8"/>
    </sheetView>
  </sheetViews>
  <sheetFormatPr baseColWidth="10" defaultColWidth="8.83203125" defaultRowHeight="15"/>
  <cols>
    <col min="1" max="1" width="7" customWidth="1"/>
    <col min="2" max="2" width="25" customWidth="1"/>
    <col min="3" max="3" width="12" customWidth="1"/>
    <col min="4" max="4" width="27" customWidth="1"/>
    <col min="5" max="5" width="12" customWidth="1"/>
    <col min="6" max="6" width="42" customWidth="1"/>
    <col min="7" max="7" width="38" customWidth="1"/>
    <col min="8" max="8" width="31" customWidth="1"/>
    <col min="9" max="9" width="30" customWidth="1"/>
    <col min="10" max="10" width="35" customWidth="1"/>
    <col min="11" max="11" width="12" customWidth="1"/>
    <col min="12" max="13" width="14" customWidth="1"/>
    <col min="14" max="14" width="36" customWidth="1"/>
    <col min="15" max="15" width="35" customWidth="1"/>
  </cols>
  <sheetData>
    <row r="1" spans="1:15" ht="3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25</v>
      </c>
      <c r="L1" s="1" t="s">
        <v>69</v>
      </c>
      <c r="M1" s="1" t="s">
        <v>70</v>
      </c>
      <c r="N1" s="1" t="s">
        <v>71</v>
      </c>
      <c r="O1" s="1" t="s">
        <v>72</v>
      </c>
    </row>
    <row r="2" spans="1:15" ht="96" customHeight="1">
      <c r="A2" s="2">
        <v>1</v>
      </c>
      <c r="B2" s="2" t="s">
        <v>35</v>
      </c>
      <c r="C2" s="2"/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  <c r="K2" s="2" t="s">
        <v>27</v>
      </c>
      <c r="L2" s="2" t="s">
        <v>26</v>
      </c>
      <c r="M2" s="2"/>
      <c r="N2" s="2"/>
      <c r="O2" s="2" t="s">
        <v>80</v>
      </c>
    </row>
    <row r="3" spans="1:15" ht="96" customHeight="1">
      <c r="A3" s="2">
        <v>2</v>
      </c>
      <c r="B3" s="2" t="s">
        <v>81</v>
      </c>
      <c r="C3" s="2"/>
      <c r="D3" s="2" t="s">
        <v>73</v>
      </c>
      <c r="E3" s="2" t="s">
        <v>74</v>
      </c>
      <c r="F3" s="2" t="s">
        <v>82</v>
      </c>
      <c r="G3" s="2" t="s">
        <v>83</v>
      </c>
      <c r="H3" s="2" t="s">
        <v>84</v>
      </c>
      <c r="I3" s="2" t="s">
        <v>85</v>
      </c>
      <c r="J3" s="2" t="s">
        <v>86</v>
      </c>
      <c r="K3" s="2" t="s">
        <v>27</v>
      </c>
      <c r="L3" s="2" t="s">
        <v>26</v>
      </c>
      <c r="M3" s="2"/>
      <c r="N3" s="2"/>
      <c r="O3" s="2" t="s">
        <v>80</v>
      </c>
    </row>
    <row r="4" spans="1:15" ht="96" customHeight="1">
      <c r="A4" s="2">
        <v>3</v>
      </c>
      <c r="B4" s="2" t="s">
        <v>87</v>
      </c>
      <c r="C4" s="2"/>
      <c r="D4" s="2" t="s">
        <v>73</v>
      </c>
      <c r="E4" s="2" t="s">
        <v>74</v>
      </c>
      <c r="F4" s="2" t="s">
        <v>88</v>
      </c>
      <c r="G4" s="2" t="s">
        <v>89</v>
      </c>
      <c r="H4" s="2" t="s">
        <v>90</v>
      </c>
      <c r="I4" s="2" t="s">
        <v>91</v>
      </c>
      <c r="J4" s="2" t="s">
        <v>92</v>
      </c>
      <c r="K4" s="2" t="s">
        <v>27</v>
      </c>
      <c r="L4" s="2" t="s">
        <v>26</v>
      </c>
      <c r="M4" s="2"/>
      <c r="N4" s="2"/>
      <c r="O4" s="2" t="s">
        <v>80</v>
      </c>
    </row>
    <row r="5" spans="1:15" ht="96" customHeight="1">
      <c r="A5" s="2">
        <v>4</v>
      </c>
      <c r="B5" s="2" t="s">
        <v>93</v>
      </c>
      <c r="C5" s="2"/>
      <c r="D5" s="2" t="s">
        <v>73</v>
      </c>
      <c r="E5" s="2" t="s">
        <v>74</v>
      </c>
      <c r="F5" s="2" t="s">
        <v>94</v>
      </c>
      <c r="G5" s="2" t="s">
        <v>95</v>
      </c>
      <c r="H5" s="2" t="s">
        <v>96</v>
      </c>
      <c r="I5" s="2" t="s">
        <v>97</v>
      </c>
      <c r="J5" s="2" t="s">
        <v>98</v>
      </c>
      <c r="K5" s="2" t="s">
        <v>27</v>
      </c>
      <c r="L5" s="2" t="s">
        <v>26</v>
      </c>
      <c r="M5" s="2"/>
      <c r="N5" s="2"/>
      <c r="O5" s="2" t="s">
        <v>80</v>
      </c>
    </row>
    <row r="6" spans="1:15" ht="96" customHeight="1">
      <c r="A6" s="2">
        <v>5</v>
      </c>
      <c r="B6" s="2" t="s">
        <v>99</v>
      </c>
      <c r="C6" s="2"/>
      <c r="D6" s="2" t="s">
        <v>73</v>
      </c>
      <c r="E6" s="2" t="s">
        <v>74</v>
      </c>
      <c r="F6" s="2" t="s">
        <v>100</v>
      </c>
      <c r="G6" s="2" t="s">
        <v>101</v>
      </c>
      <c r="H6" s="2" t="s">
        <v>102</v>
      </c>
      <c r="I6" s="2" t="s">
        <v>103</v>
      </c>
      <c r="J6" s="2" t="s">
        <v>104</v>
      </c>
      <c r="K6" s="2" t="s">
        <v>29</v>
      </c>
      <c r="L6" s="2" t="s">
        <v>26</v>
      </c>
      <c r="M6" s="2"/>
      <c r="N6" s="2"/>
      <c r="O6" s="2" t="s">
        <v>80</v>
      </c>
    </row>
    <row r="7" spans="1:15" ht="96" customHeight="1">
      <c r="A7" s="2">
        <v>6</v>
      </c>
      <c r="B7" s="2" t="s">
        <v>105</v>
      </c>
      <c r="C7" s="2"/>
      <c r="D7" s="2" t="s">
        <v>73</v>
      </c>
      <c r="E7" s="2" t="s">
        <v>74</v>
      </c>
      <c r="F7" s="2" t="s">
        <v>106</v>
      </c>
      <c r="G7" s="2" t="s">
        <v>107</v>
      </c>
      <c r="H7" s="2" t="s">
        <v>108</v>
      </c>
      <c r="I7" s="2" t="s">
        <v>109</v>
      </c>
      <c r="J7" s="2" t="s">
        <v>110</v>
      </c>
      <c r="K7" s="2" t="s">
        <v>29</v>
      </c>
      <c r="L7" s="2" t="s">
        <v>26</v>
      </c>
      <c r="M7" s="2"/>
      <c r="N7" s="2"/>
      <c r="O7" s="2" t="s">
        <v>80</v>
      </c>
    </row>
    <row r="8" spans="1:15" ht="96" customHeight="1">
      <c r="A8" s="2">
        <v>7</v>
      </c>
      <c r="B8" s="2" t="s">
        <v>111</v>
      </c>
      <c r="C8" s="2"/>
      <c r="D8" s="2" t="s">
        <v>73</v>
      </c>
      <c r="E8" s="2" t="s">
        <v>74</v>
      </c>
      <c r="F8" s="2" t="s">
        <v>112</v>
      </c>
      <c r="G8" s="2" t="s">
        <v>113</v>
      </c>
      <c r="H8" s="2" t="s">
        <v>114</v>
      </c>
      <c r="I8" s="2" t="s">
        <v>115</v>
      </c>
      <c r="J8" s="2" t="s">
        <v>116</v>
      </c>
      <c r="K8" s="2" t="s">
        <v>29</v>
      </c>
      <c r="L8" s="2" t="s">
        <v>26</v>
      </c>
      <c r="M8" s="2"/>
      <c r="N8" s="2"/>
      <c r="O8" s="2" t="s">
        <v>80</v>
      </c>
    </row>
    <row r="9" spans="1:15" ht="96" customHeight="1">
      <c r="A9" s="2">
        <v>8</v>
      </c>
      <c r="B9" s="2" t="s">
        <v>41</v>
      </c>
      <c r="C9" s="2"/>
      <c r="D9" s="2" t="s">
        <v>73</v>
      </c>
      <c r="E9" s="2" t="s">
        <v>74</v>
      </c>
      <c r="F9" s="2" t="s">
        <v>117</v>
      </c>
      <c r="G9" s="2" t="s">
        <v>118</v>
      </c>
      <c r="H9" s="2" t="s">
        <v>119</v>
      </c>
      <c r="I9" s="2" t="s">
        <v>120</v>
      </c>
      <c r="J9" s="2" t="s">
        <v>121</v>
      </c>
      <c r="K9" s="2" t="s">
        <v>27</v>
      </c>
      <c r="L9" s="2" t="s">
        <v>26</v>
      </c>
      <c r="M9" s="2"/>
      <c r="N9" s="2"/>
      <c r="O9" s="2" t="s">
        <v>80</v>
      </c>
    </row>
    <row r="10" spans="1:15" ht="96" customHeight="1">
      <c r="A10" s="2">
        <v>9</v>
      </c>
      <c r="B10" s="2" t="s">
        <v>122</v>
      </c>
      <c r="C10" s="2"/>
      <c r="D10" s="2" t="s">
        <v>73</v>
      </c>
      <c r="E10" s="2" t="s">
        <v>74</v>
      </c>
      <c r="F10" s="2" t="s">
        <v>123</v>
      </c>
      <c r="G10" s="2" t="s">
        <v>124</v>
      </c>
      <c r="H10" s="2" t="s">
        <v>125</v>
      </c>
      <c r="I10" s="2" t="s">
        <v>126</v>
      </c>
      <c r="J10" s="2" t="s">
        <v>127</v>
      </c>
      <c r="K10" s="2" t="s">
        <v>27</v>
      </c>
      <c r="L10" s="2" t="s">
        <v>26</v>
      </c>
      <c r="M10" s="2"/>
      <c r="N10" s="2"/>
      <c r="O10" s="2" t="s">
        <v>80</v>
      </c>
    </row>
    <row r="11" spans="1:15" ht="96" customHeight="1">
      <c r="A11" s="2">
        <v>10</v>
      </c>
      <c r="B11" s="2" t="s">
        <v>128</v>
      </c>
      <c r="C11" s="2"/>
      <c r="D11" s="2" t="s">
        <v>73</v>
      </c>
      <c r="E11" s="2" t="s">
        <v>74</v>
      </c>
      <c r="F11" s="2" t="s">
        <v>129</v>
      </c>
      <c r="G11" s="2" t="s">
        <v>130</v>
      </c>
      <c r="H11" s="2" t="s">
        <v>131</v>
      </c>
      <c r="I11" s="2" t="s">
        <v>132</v>
      </c>
      <c r="J11" s="2" t="s">
        <v>133</v>
      </c>
      <c r="K11" s="2" t="s">
        <v>29</v>
      </c>
      <c r="L11" s="2" t="s">
        <v>26</v>
      </c>
      <c r="M11" s="2"/>
      <c r="N11" s="2"/>
      <c r="O11" s="2" t="s">
        <v>80</v>
      </c>
    </row>
    <row r="12" spans="1:15" ht="96" customHeight="1">
      <c r="A12" s="2">
        <v>11</v>
      </c>
      <c r="B12" s="2" t="s">
        <v>134</v>
      </c>
      <c r="C12" s="2"/>
      <c r="D12" s="2" t="s">
        <v>73</v>
      </c>
      <c r="E12" s="2" t="s">
        <v>74</v>
      </c>
      <c r="F12" s="2" t="s">
        <v>135</v>
      </c>
      <c r="G12" s="2" t="s">
        <v>136</v>
      </c>
      <c r="H12" s="2" t="s">
        <v>137</v>
      </c>
      <c r="I12" s="2" t="s">
        <v>138</v>
      </c>
      <c r="J12" s="2" t="s">
        <v>139</v>
      </c>
      <c r="K12" s="2" t="s">
        <v>29</v>
      </c>
      <c r="L12" s="2" t="s">
        <v>26</v>
      </c>
      <c r="M12" s="2"/>
      <c r="N12" s="2"/>
      <c r="O12" s="2" t="s">
        <v>80</v>
      </c>
    </row>
    <row r="13" spans="1:15" ht="96" customHeight="1">
      <c r="A13" s="2">
        <v>12</v>
      </c>
      <c r="B13" s="2" t="s">
        <v>140</v>
      </c>
      <c r="C13" s="2"/>
      <c r="D13" s="2" t="s">
        <v>73</v>
      </c>
      <c r="E13" s="2" t="s">
        <v>29</v>
      </c>
      <c r="F13" s="2" t="s">
        <v>141</v>
      </c>
      <c r="G13" s="2" t="s">
        <v>142</v>
      </c>
      <c r="H13" s="2" t="s">
        <v>143</v>
      </c>
      <c r="I13" s="2" t="s">
        <v>144</v>
      </c>
      <c r="J13" s="2" t="s">
        <v>145</v>
      </c>
      <c r="K13" s="2" t="s">
        <v>29</v>
      </c>
      <c r="L13" s="2" t="s">
        <v>26</v>
      </c>
      <c r="M13" s="2"/>
      <c r="N13" s="2"/>
      <c r="O13" s="2" t="s">
        <v>80</v>
      </c>
    </row>
    <row r="14" spans="1:15" ht="96" customHeight="1">
      <c r="A14" s="2">
        <v>13</v>
      </c>
      <c r="B14" s="2" t="s">
        <v>146</v>
      </c>
      <c r="C14" s="2"/>
      <c r="D14" s="2" t="s">
        <v>73</v>
      </c>
      <c r="E14" s="2" t="s">
        <v>74</v>
      </c>
      <c r="F14" s="2" t="s">
        <v>147</v>
      </c>
      <c r="G14" s="2" t="s">
        <v>148</v>
      </c>
      <c r="H14" s="2" t="s">
        <v>149</v>
      </c>
      <c r="I14" s="2" t="s">
        <v>150</v>
      </c>
      <c r="J14" s="2" t="s">
        <v>151</v>
      </c>
      <c r="K14" s="2" t="s">
        <v>27</v>
      </c>
      <c r="L14" s="2" t="s">
        <v>26</v>
      </c>
      <c r="M14" s="2"/>
      <c r="N14" s="2"/>
      <c r="O14" s="2" t="s">
        <v>80</v>
      </c>
    </row>
    <row r="15" spans="1:15" ht="96" customHeight="1">
      <c r="A15" s="2">
        <v>14</v>
      </c>
      <c r="B15" s="2" t="s">
        <v>152</v>
      </c>
      <c r="C15" s="2"/>
      <c r="D15" s="2" t="s">
        <v>73</v>
      </c>
      <c r="E15" s="2" t="s">
        <v>74</v>
      </c>
      <c r="F15" s="2" t="s">
        <v>153</v>
      </c>
      <c r="G15" s="2" t="s">
        <v>154</v>
      </c>
      <c r="H15" s="2" t="s">
        <v>155</v>
      </c>
      <c r="I15" s="2" t="s">
        <v>156</v>
      </c>
      <c r="J15" s="2" t="s">
        <v>157</v>
      </c>
      <c r="K15" s="2" t="s">
        <v>29</v>
      </c>
      <c r="L15" s="2" t="s">
        <v>26</v>
      </c>
      <c r="M15" s="2"/>
      <c r="N15" s="2"/>
      <c r="O15" s="2" t="s">
        <v>80</v>
      </c>
    </row>
    <row r="16" spans="1:15" ht="96" customHeight="1">
      <c r="A16" s="2">
        <v>15</v>
      </c>
      <c r="B16" s="2" t="s">
        <v>158</v>
      </c>
      <c r="C16" s="2"/>
      <c r="D16" s="2" t="s">
        <v>73</v>
      </c>
      <c r="E16" s="2" t="s">
        <v>74</v>
      </c>
      <c r="F16" s="2" t="s">
        <v>159</v>
      </c>
      <c r="G16" s="2" t="s">
        <v>160</v>
      </c>
      <c r="H16" s="2" t="s">
        <v>161</v>
      </c>
      <c r="I16" s="2" t="s">
        <v>162</v>
      </c>
      <c r="J16" s="2" t="s">
        <v>163</v>
      </c>
      <c r="K16" s="2" t="s">
        <v>29</v>
      </c>
      <c r="L16" s="2" t="s">
        <v>26</v>
      </c>
      <c r="M16" s="2"/>
      <c r="N16" s="2"/>
      <c r="O16" s="2" t="s">
        <v>80</v>
      </c>
    </row>
    <row r="17" spans="1:15" ht="96" customHeight="1">
      <c r="A17" s="2">
        <v>16</v>
      </c>
      <c r="B17" s="2" t="s">
        <v>36</v>
      </c>
      <c r="C17" s="2"/>
      <c r="D17" s="2" t="s">
        <v>164</v>
      </c>
      <c r="E17" s="2" t="s">
        <v>74</v>
      </c>
      <c r="F17" s="2" t="s">
        <v>165</v>
      </c>
      <c r="G17" s="2" t="s">
        <v>166</v>
      </c>
      <c r="H17" s="2" t="s">
        <v>167</v>
      </c>
      <c r="I17" s="2" t="s">
        <v>168</v>
      </c>
      <c r="J17" s="2" t="s">
        <v>169</v>
      </c>
      <c r="K17" s="2" t="s">
        <v>27</v>
      </c>
      <c r="L17" s="2" t="s">
        <v>26</v>
      </c>
      <c r="M17" s="2"/>
      <c r="N17" s="2"/>
      <c r="O17" s="2" t="s">
        <v>80</v>
      </c>
    </row>
    <row r="18" spans="1:15" ht="96" customHeight="1">
      <c r="A18" s="2">
        <v>17</v>
      </c>
      <c r="B18" s="2" t="s">
        <v>37</v>
      </c>
      <c r="C18" s="2"/>
      <c r="D18" s="2" t="s">
        <v>164</v>
      </c>
      <c r="E18" s="2" t="s">
        <v>74</v>
      </c>
      <c r="F18" s="2" t="s">
        <v>170</v>
      </c>
      <c r="G18" s="2" t="s">
        <v>171</v>
      </c>
      <c r="H18" s="2" t="s">
        <v>172</v>
      </c>
      <c r="I18" s="2" t="s">
        <v>173</v>
      </c>
      <c r="J18" s="2" t="s">
        <v>174</v>
      </c>
      <c r="K18" s="2" t="s">
        <v>27</v>
      </c>
      <c r="L18" s="2" t="s">
        <v>26</v>
      </c>
      <c r="M18" s="2"/>
      <c r="N18" s="2"/>
      <c r="O18" s="2" t="s">
        <v>80</v>
      </c>
    </row>
    <row r="19" spans="1:15" ht="96" customHeight="1">
      <c r="A19" s="2">
        <v>18</v>
      </c>
      <c r="B19" s="2" t="s">
        <v>38</v>
      </c>
      <c r="C19" s="2"/>
      <c r="D19" s="2" t="s">
        <v>164</v>
      </c>
      <c r="E19" s="2" t="s">
        <v>74</v>
      </c>
      <c r="F19" s="2" t="s">
        <v>175</v>
      </c>
      <c r="G19" s="2" t="s">
        <v>176</v>
      </c>
      <c r="H19" s="2" t="s">
        <v>177</v>
      </c>
      <c r="I19" s="2" t="s">
        <v>178</v>
      </c>
      <c r="J19" s="2" t="s">
        <v>179</v>
      </c>
      <c r="K19" s="2" t="s">
        <v>27</v>
      </c>
      <c r="L19" s="2" t="s">
        <v>26</v>
      </c>
      <c r="M19" s="2"/>
      <c r="N19" s="2"/>
      <c r="O19" s="2" t="s">
        <v>80</v>
      </c>
    </row>
    <row r="20" spans="1:15" ht="96" customHeight="1">
      <c r="A20" s="2">
        <v>19</v>
      </c>
      <c r="B20" s="2" t="s">
        <v>39</v>
      </c>
      <c r="C20" s="2"/>
      <c r="D20" s="2" t="s">
        <v>164</v>
      </c>
      <c r="E20" s="2" t="s">
        <v>74</v>
      </c>
      <c r="F20" s="2" t="s">
        <v>180</v>
      </c>
      <c r="G20" s="2" t="s">
        <v>181</v>
      </c>
      <c r="H20" s="2" t="s">
        <v>182</v>
      </c>
      <c r="I20" s="2" t="s">
        <v>183</v>
      </c>
      <c r="J20" s="2" t="s">
        <v>184</v>
      </c>
      <c r="K20" s="2" t="s">
        <v>27</v>
      </c>
      <c r="L20" s="2" t="s">
        <v>26</v>
      </c>
      <c r="M20" s="2"/>
      <c r="N20" s="2"/>
      <c r="O20" s="2" t="s">
        <v>80</v>
      </c>
    </row>
    <row r="21" spans="1:15" ht="96" customHeight="1">
      <c r="A21" s="2">
        <v>20</v>
      </c>
      <c r="B21" s="2" t="s">
        <v>40</v>
      </c>
      <c r="C21" s="2"/>
      <c r="D21" s="2" t="s">
        <v>164</v>
      </c>
      <c r="E21" s="2" t="s">
        <v>74</v>
      </c>
      <c r="F21" s="2" t="s">
        <v>185</v>
      </c>
      <c r="G21" s="2" t="s">
        <v>186</v>
      </c>
      <c r="H21" s="2" t="s">
        <v>187</v>
      </c>
      <c r="I21" s="2" t="s">
        <v>188</v>
      </c>
      <c r="J21" s="2" t="s">
        <v>189</v>
      </c>
      <c r="K21" s="2" t="s">
        <v>27</v>
      </c>
      <c r="L21" s="2" t="s">
        <v>26</v>
      </c>
      <c r="M21" s="2"/>
      <c r="N21" s="2"/>
      <c r="O21" s="2" t="s">
        <v>80</v>
      </c>
    </row>
    <row r="22" spans="1:15" ht="96" customHeight="1">
      <c r="A22" s="2">
        <v>21</v>
      </c>
      <c r="B22" s="2" t="s">
        <v>190</v>
      </c>
      <c r="C22" s="2"/>
      <c r="D22" s="2" t="s">
        <v>164</v>
      </c>
      <c r="E22" s="2" t="s">
        <v>74</v>
      </c>
      <c r="F22" s="2" t="s">
        <v>191</v>
      </c>
      <c r="G22" s="2" t="s">
        <v>192</v>
      </c>
      <c r="H22" s="2" t="s">
        <v>193</v>
      </c>
      <c r="I22" s="2" t="s">
        <v>194</v>
      </c>
      <c r="J22" s="2" t="s">
        <v>195</v>
      </c>
      <c r="K22" s="2" t="s">
        <v>29</v>
      </c>
      <c r="L22" s="2" t="s">
        <v>26</v>
      </c>
      <c r="M22" s="2"/>
      <c r="N22" s="2"/>
      <c r="O22" s="2" t="s">
        <v>80</v>
      </c>
    </row>
    <row r="23" spans="1:15" ht="96" customHeight="1">
      <c r="A23" s="2">
        <v>22</v>
      </c>
      <c r="B23" s="2" t="s">
        <v>196</v>
      </c>
      <c r="C23" s="2"/>
      <c r="D23" s="2" t="s">
        <v>164</v>
      </c>
      <c r="E23" s="2" t="s">
        <v>74</v>
      </c>
      <c r="F23" s="2" t="s">
        <v>197</v>
      </c>
      <c r="G23" s="2" t="s">
        <v>198</v>
      </c>
      <c r="H23" s="2" t="s">
        <v>199</v>
      </c>
      <c r="I23" s="2" t="s">
        <v>200</v>
      </c>
      <c r="J23" s="2" t="s">
        <v>201</v>
      </c>
      <c r="K23" s="2" t="s">
        <v>29</v>
      </c>
      <c r="L23" s="2" t="s">
        <v>26</v>
      </c>
      <c r="M23" s="2"/>
      <c r="N23" s="2"/>
      <c r="O23" s="2" t="s">
        <v>80</v>
      </c>
    </row>
    <row r="24" spans="1:15" ht="96" customHeight="1">
      <c r="A24" s="2">
        <v>23</v>
      </c>
      <c r="B24" s="2" t="s">
        <v>202</v>
      </c>
      <c r="C24" s="2"/>
      <c r="D24" s="2" t="s">
        <v>164</v>
      </c>
      <c r="E24" s="2" t="s">
        <v>74</v>
      </c>
      <c r="F24" s="2" t="s">
        <v>203</v>
      </c>
      <c r="G24" s="2" t="s">
        <v>204</v>
      </c>
      <c r="H24" s="2" t="s">
        <v>205</v>
      </c>
      <c r="I24" s="2" t="s">
        <v>206</v>
      </c>
      <c r="J24" s="2" t="s">
        <v>207</v>
      </c>
      <c r="K24" s="2" t="s">
        <v>29</v>
      </c>
      <c r="L24" s="2" t="s">
        <v>26</v>
      </c>
      <c r="M24" s="2"/>
      <c r="N24" s="2"/>
      <c r="O24" s="2" t="s">
        <v>80</v>
      </c>
    </row>
    <row r="25" spans="1:15" ht="96" customHeight="1">
      <c r="A25" s="2">
        <v>24</v>
      </c>
      <c r="B25" s="2" t="s">
        <v>208</v>
      </c>
      <c r="C25" s="2"/>
      <c r="D25" s="2" t="s">
        <v>164</v>
      </c>
      <c r="E25" s="2" t="s">
        <v>74</v>
      </c>
      <c r="F25" s="2" t="s">
        <v>209</v>
      </c>
      <c r="G25" s="2" t="s">
        <v>210</v>
      </c>
      <c r="H25" s="2" t="s">
        <v>211</v>
      </c>
      <c r="I25" s="2" t="s">
        <v>212</v>
      </c>
      <c r="J25" s="2" t="s">
        <v>213</v>
      </c>
      <c r="K25" s="2" t="s">
        <v>27</v>
      </c>
      <c r="L25" s="2" t="s">
        <v>26</v>
      </c>
      <c r="M25" s="2"/>
      <c r="N25" s="2"/>
      <c r="O25" s="2" t="s">
        <v>80</v>
      </c>
    </row>
    <row r="26" spans="1:15" ht="96" customHeight="1">
      <c r="A26" s="2">
        <v>25</v>
      </c>
      <c r="B26" s="2" t="s">
        <v>214</v>
      </c>
      <c r="C26" s="2"/>
      <c r="D26" s="2" t="s">
        <v>164</v>
      </c>
      <c r="E26" s="2" t="s">
        <v>74</v>
      </c>
      <c r="F26" s="2" t="s">
        <v>215</v>
      </c>
      <c r="G26" s="2" t="s">
        <v>216</v>
      </c>
      <c r="H26" s="2" t="s">
        <v>217</v>
      </c>
      <c r="I26" s="2" t="s">
        <v>218</v>
      </c>
      <c r="J26" s="2" t="s">
        <v>219</v>
      </c>
      <c r="K26" s="2" t="s">
        <v>29</v>
      </c>
      <c r="L26" s="2" t="s">
        <v>26</v>
      </c>
      <c r="M26" s="2"/>
      <c r="N26" s="2"/>
      <c r="O26" s="2" t="s">
        <v>80</v>
      </c>
    </row>
    <row r="27" spans="1:15" ht="96" customHeight="1">
      <c r="A27" s="2">
        <v>26</v>
      </c>
      <c r="B27" s="2" t="s">
        <v>220</v>
      </c>
      <c r="C27" s="2"/>
      <c r="D27" s="2" t="s">
        <v>164</v>
      </c>
      <c r="E27" s="2" t="s">
        <v>74</v>
      </c>
      <c r="F27" s="2" t="s">
        <v>221</v>
      </c>
      <c r="G27" s="2" t="s">
        <v>222</v>
      </c>
      <c r="H27" s="2" t="s">
        <v>223</v>
      </c>
      <c r="I27" s="2" t="s">
        <v>224</v>
      </c>
      <c r="J27" s="2" t="s">
        <v>225</v>
      </c>
      <c r="K27" s="2" t="s">
        <v>29</v>
      </c>
      <c r="L27" s="2" t="s">
        <v>26</v>
      </c>
      <c r="M27" s="2"/>
      <c r="N27" s="2"/>
      <c r="O27" s="2" t="s">
        <v>80</v>
      </c>
    </row>
    <row r="28" spans="1:15" ht="96" customHeight="1">
      <c r="A28" s="2">
        <v>27</v>
      </c>
      <c r="B28" s="2" t="s">
        <v>226</v>
      </c>
      <c r="C28" s="2"/>
      <c r="D28" s="2" t="s">
        <v>164</v>
      </c>
      <c r="E28" s="2" t="s">
        <v>74</v>
      </c>
      <c r="F28" s="2" t="s">
        <v>227</v>
      </c>
      <c r="G28" s="2" t="s">
        <v>228</v>
      </c>
      <c r="H28" s="2" t="s">
        <v>229</v>
      </c>
      <c r="I28" s="2" t="s">
        <v>230</v>
      </c>
      <c r="J28" s="2" t="s">
        <v>231</v>
      </c>
      <c r="K28" s="2" t="s">
        <v>27</v>
      </c>
      <c r="L28" s="2" t="s">
        <v>26</v>
      </c>
      <c r="M28" s="2"/>
      <c r="N28" s="2"/>
      <c r="O28" s="2" t="s">
        <v>80</v>
      </c>
    </row>
    <row r="29" spans="1:15" ht="96" customHeight="1">
      <c r="A29" s="2">
        <v>28</v>
      </c>
      <c r="B29" s="2" t="s">
        <v>232</v>
      </c>
      <c r="C29" s="2"/>
      <c r="D29" s="2" t="s">
        <v>164</v>
      </c>
      <c r="E29" s="2" t="s">
        <v>74</v>
      </c>
      <c r="F29" s="2" t="s">
        <v>233</v>
      </c>
      <c r="G29" s="2" t="s">
        <v>234</v>
      </c>
      <c r="H29" s="2" t="s">
        <v>235</v>
      </c>
      <c r="I29" s="2" t="s">
        <v>236</v>
      </c>
      <c r="J29" s="2" t="s">
        <v>237</v>
      </c>
      <c r="K29" s="2" t="s">
        <v>27</v>
      </c>
      <c r="L29" s="2" t="s">
        <v>26</v>
      </c>
      <c r="M29" s="2"/>
      <c r="N29" s="2"/>
      <c r="O29" s="2" t="s">
        <v>80</v>
      </c>
    </row>
    <row r="30" spans="1:15" ht="96" customHeight="1">
      <c r="A30" s="2">
        <v>29</v>
      </c>
      <c r="B30" s="2" t="s">
        <v>238</v>
      </c>
      <c r="C30" s="2"/>
      <c r="D30" s="2" t="s">
        <v>164</v>
      </c>
      <c r="E30" s="2" t="s">
        <v>74</v>
      </c>
      <c r="F30" s="2" t="s">
        <v>239</v>
      </c>
      <c r="G30" s="2" t="s">
        <v>240</v>
      </c>
      <c r="H30" s="2" t="s">
        <v>241</v>
      </c>
      <c r="I30" s="2" t="s">
        <v>242</v>
      </c>
      <c r="J30" s="2" t="s">
        <v>243</v>
      </c>
      <c r="K30" s="2" t="s">
        <v>29</v>
      </c>
      <c r="L30" s="2" t="s">
        <v>26</v>
      </c>
      <c r="M30" s="2"/>
      <c r="N30" s="2"/>
      <c r="O30" s="2" t="s">
        <v>80</v>
      </c>
    </row>
    <row r="31" spans="1:15" ht="96" customHeight="1">
      <c r="A31" s="2">
        <v>30</v>
      </c>
      <c r="B31" s="2" t="s">
        <v>244</v>
      </c>
      <c r="C31" s="2"/>
      <c r="D31" s="2" t="s">
        <v>164</v>
      </c>
      <c r="E31" s="2" t="s">
        <v>29</v>
      </c>
      <c r="F31" s="2" t="s">
        <v>245</v>
      </c>
      <c r="G31" s="2" t="s">
        <v>246</v>
      </c>
      <c r="H31" s="2" t="s">
        <v>247</v>
      </c>
      <c r="I31" s="2" t="s">
        <v>248</v>
      </c>
      <c r="J31" s="2" t="s">
        <v>249</v>
      </c>
      <c r="K31" s="2" t="s">
        <v>27</v>
      </c>
      <c r="L31" s="2" t="s">
        <v>26</v>
      </c>
      <c r="M31" s="2"/>
      <c r="N31" s="2"/>
      <c r="O31" s="2" t="s">
        <v>80</v>
      </c>
    </row>
    <row r="32" spans="1:15" ht="96" customHeight="1">
      <c r="A32" s="2">
        <v>31</v>
      </c>
      <c r="B32" s="2" t="s">
        <v>250</v>
      </c>
      <c r="C32" s="2"/>
      <c r="D32" s="2" t="s">
        <v>164</v>
      </c>
      <c r="E32" s="2" t="s">
        <v>74</v>
      </c>
      <c r="F32" s="2" t="s">
        <v>251</v>
      </c>
      <c r="G32" s="2" t="s">
        <v>252</v>
      </c>
      <c r="H32" s="2" t="s">
        <v>253</v>
      </c>
      <c r="I32" s="2" t="s">
        <v>254</v>
      </c>
      <c r="J32" s="2" t="s">
        <v>255</v>
      </c>
      <c r="K32" s="2" t="s">
        <v>27</v>
      </c>
      <c r="L32" s="2" t="s">
        <v>26</v>
      </c>
      <c r="M32" s="2"/>
      <c r="N32" s="2"/>
      <c r="O32" s="2" t="s">
        <v>80</v>
      </c>
    </row>
    <row r="33" spans="1:15" ht="96" customHeight="1">
      <c r="A33" s="2">
        <v>32</v>
      </c>
      <c r="B33" s="2" t="s">
        <v>256</v>
      </c>
      <c r="C33" s="2"/>
      <c r="D33" s="2" t="s">
        <v>164</v>
      </c>
      <c r="E33" s="2" t="s">
        <v>29</v>
      </c>
      <c r="F33" s="2" t="s">
        <v>257</v>
      </c>
      <c r="G33" s="2" t="s">
        <v>258</v>
      </c>
      <c r="H33" s="2" t="s">
        <v>259</v>
      </c>
      <c r="I33" s="2" t="s">
        <v>260</v>
      </c>
      <c r="J33" s="2" t="s">
        <v>261</v>
      </c>
      <c r="K33" s="2" t="s">
        <v>29</v>
      </c>
      <c r="L33" s="2" t="s">
        <v>26</v>
      </c>
      <c r="M33" s="2"/>
      <c r="N33" s="2"/>
      <c r="O33" s="2" t="s">
        <v>80</v>
      </c>
    </row>
    <row r="34" spans="1:15" ht="96" customHeight="1">
      <c r="A34" s="2">
        <v>33</v>
      </c>
      <c r="B34" s="2" t="s">
        <v>262</v>
      </c>
      <c r="C34" s="2"/>
      <c r="D34" s="2" t="s">
        <v>164</v>
      </c>
      <c r="E34" s="2" t="s">
        <v>74</v>
      </c>
      <c r="F34" s="2" t="s">
        <v>263</v>
      </c>
      <c r="G34" s="2" t="s">
        <v>264</v>
      </c>
      <c r="H34" s="2" t="s">
        <v>265</v>
      </c>
      <c r="I34" s="2" t="s">
        <v>266</v>
      </c>
      <c r="J34" s="2" t="s">
        <v>267</v>
      </c>
      <c r="K34" s="2" t="s">
        <v>29</v>
      </c>
      <c r="L34" s="2" t="s">
        <v>26</v>
      </c>
      <c r="M34" s="2"/>
      <c r="N34" s="2"/>
      <c r="O34" s="2" t="s">
        <v>80</v>
      </c>
    </row>
    <row r="35" spans="1:15" ht="96" customHeight="1">
      <c r="A35" s="2">
        <v>34</v>
      </c>
      <c r="B35" s="2" t="s">
        <v>268</v>
      </c>
      <c r="C35" s="2"/>
      <c r="D35" s="2" t="s">
        <v>164</v>
      </c>
      <c r="E35" s="2" t="s">
        <v>29</v>
      </c>
      <c r="F35" s="2" t="s">
        <v>269</v>
      </c>
      <c r="G35" s="2" t="s">
        <v>270</v>
      </c>
      <c r="H35" s="2" t="s">
        <v>271</v>
      </c>
      <c r="I35" s="2" t="s">
        <v>272</v>
      </c>
      <c r="J35" s="2" t="s">
        <v>273</v>
      </c>
      <c r="K35" s="2" t="s">
        <v>27</v>
      </c>
      <c r="L35" s="2" t="s">
        <v>26</v>
      </c>
      <c r="M35" s="2"/>
      <c r="N35" s="2"/>
      <c r="O35" s="2" t="s">
        <v>80</v>
      </c>
    </row>
    <row r="36" spans="1:15" ht="96" customHeight="1">
      <c r="A36" s="2">
        <v>35</v>
      </c>
      <c r="B36" s="2" t="s">
        <v>274</v>
      </c>
      <c r="C36" s="2"/>
      <c r="D36" s="2" t="s">
        <v>164</v>
      </c>
      <c r="E36" s="2" t="s">
        <v>74</v>
      </c>
      <c r="F36" s="2" t="s">
        <v>275</v>
      </c>
      <c r="G36" s="2" t="s">
        <v>276</v>
      </c>
      <c r="H36" s="2" t="s">
        <v>277</v>
      </c>
      <c r="I36" s="2" t="s">
        <v>278</v>
      </c>
      <c r="J36" s="2" t="s">
        <v>279</v>
      </c>
      <c r="K36" s="2" t="s">
        <v>29</v>
      </c>
      <c r="L36" s="2" t="s">
        <v>26</v>
      </c>
      <c r="M36" s="2"/>
      <c r="N36" s="2"/>
      <c r="O36" s="2" t="s">
        <v>80</v>
      </c>
    </row>
    <row r="37" spans="1:15" ht="96" customHeight="1">
      <c r="A37" s="2">
        <v>36</v>
      </c>
      <c r="B37" s="2" t="s">
        <v>280</v>
      </c>
      <c r="C37" s="2"/>
      <c r="D37" s="2" t="s">
        <v>164</v>
      </c>
      <c r="E37" s="2" t="s">
        <v>29</v>
      </c>
      <c r="F37" s="2" t="s">
        <v>281</v>
      </c>
      <c r="G37" s="2" t="s">
        <v>282</v>
      </c>
      <c r="H37" s="2" t="s">
        <v>283</v>
      </c>
      <c r="I37" s="2" t="s">
        <v>284</v>
      </c>
      <c r="J37" s="2" t="s">
        <v>285</v>
      </c>
      <c r="K37" s="2" t="s">
        <v>29</v>
      </c>
      <c r="L37" s="2" t="s">
        <v>26</v>
      </c>
      <c r="M37" s="2"/>
      <c r="N37" s="2"/>
      <c r="O37" s="2" t="s">
        <v>80</v>
      </c>
    </row>
    <row r="38" spans="1:15" ht="96" customHeight="1">
      <c r="A38" s="2">
        <v>37</v>
      </c>
      <c r="B38" s="2" t="s">
        <v>286</v>
      </c>
      <c r="C38" s="2"/>
      <c r="D38" s="2" t="s">
        <v>164</v>
      </c>
      <c r="E38" s="2" t="s">
        <v>29</v>
      </c>
      <c r="F38" s="2" t="s">
        <v>287</v>
      </c>
      <c r="G38" s="2" t="s">
        <v>288</v>
      </c>
      <c r="H38" s="2" t="s">
        <v>289</v>
      </c>
      <c r="I38" s="2" t="s">
        <v>290</v>
      </c>
      <c r="J38" s="2" t="s">
        <v>291</v>
      </c>
      <c r="K38" s="2" t="s">
        <v>27</v>
      </c>
      <c r="L38" s="2" t="s">
        <v>26</v>
      </c>
      <c r="M38" s="2"/>
      <c r="N38" s="2"/>
      <c r="O38" s="2" t="s">
        <v>80</v>
      </c>
    </row>
    <row r="39" spans="1:15" ht="96" customHeight="1">
      <c r="A39" s="2">
        <v>38</v>
      </c>
      <c r="B39" s="2" t="s">
        <v>292</v>
      </c>
      <c r="C39" s="2"/>
      <c r="D39" s="2" t="s">
        <v>164</v>
      </c>
      <c r="E39" s="2" t="s">
        <v>29</v>
      </c>
      <c r="F39" s="2" t="s">
        <v>293</v>
      </c>
      <c r="G39" s="2" t="s">
        <v>294</v>
      </c>
      <c r="H39" s="2" t="s">
        <v>295</v>
      </c>
      <c r="I39" s="2" t="s">
        <v>296</v>
      </c>
      <c r="J39" s="2" t="s">
        <v>297</v>
      </c>
      <c r="K39" s="2" t="s">
        <v>29</v>
      </c>
      <c r="L39" s="2" t="s">
        <v>26</v>
      </c>
      <c r="M39" s="2"/>
      <c r="N39" s="2"/>
      <c r="O39" s="2" t="s">
        <v>80</v>
      </c>
    </row>
    <row r="40" spans="1:15" ht="96" customHeight="1">
      <c r="A40" s="2">
        <v>39</v>
      </c>
      <c r="B40" s="2" t="s">
        <v>298</v>
      </c>
      <c r="C40" s="2"/>
      <c r="D40" s="2" t="s">
        <v>164</v>
      </c>
      <c r="E40" s="2" t="s">
        <v>29</v>
      </c>
      <c r="F40" s="2" t="s">
        <v>299</v>
      </c>
      <c r="G40" s="2" t="s">
        <v>300</v>
      </c>
      <c r="H40" s="2" t="s">
        <v>301</v>
      </c>
      <c r="I40" s="2" t="s">
        <v>302</v>
      </c>
      <c r="J40" s="2" t="s">
        <v>303</v>
      </c>
      <c r="K40" s="2" t="s">
        <v>27</v>
      </c>
      <c r="L40" s="2" t="s">
        <v>26</v>
      </c>
      <c r="M40" s="2"/>
      <c r="N40" s="2"/>
      <c r="O40" s="2" t="s">
        <v>80</v>
      </c>
    </row>
    <row r="41" spans="1:15" ht="96" customHeight="1">
      <c r="A41" s="2">
        <v>40</v>
      </c>
      <c r="B41" s="2" t="s">
        <v>304</v>
      </c>
      <c r="C41" s="2"/>
      <c r="D41" s="2" t="s">
        <v>164</v>
      </c>
      <c r="E41" s="2" t="s">
        <v>29</v>
      </c>
      <c r="F41" s="2" t="s">
        <v>305</v>
      </c>
      <c r="G41" s="2" t="s">
        <v>306</v>
      </c>
      <c r="H41" s="2" t="s">
        <v>307</v>
      </c>
      <c r="I41" s="2" t="s">
        <v>308</v>
      </c>
      <c r="J41" s="2" t="s">
        <v>309</v>
      </c>
      <c r="K41" s="2" t="s">
        <v>29</v>
      </c>
      <c r="L41" s="2" t="s">
        <v>26</v>
      </c>
      <c r="M41" s="2"/>
      <c r="N41" s="2"/>
      <c r="O41" s="2" t="s">
        <v>80</v>
      </c>
    </row>
    <row r="42" spans="1:15" ht="96" customHeight="1">
      <c r="A42" s="2">
        <v>41</v>
      </c>
      <c r="B42" s="2" t="s">
        <v>310</v>
      </c>
      <c r="C42" s="2"/>
      <c r="D42" s="2" t="s">
        <v>164</v>
      </c>
      <c r="E42" s="2" t="s">
        <v>311</v>
      </c>
      <c r="F42" s="2" t="s">
        <v>312</v>
      </c>
      <c r="G42" s="2" t="s">
        <v>313</v>
      </c>
      <c r="H42" s="2" t="s">
        <v>314</v>
      </c>
      <c r="I42" s="2" t="s">
        <v>315</v>
      </c>
      <c r="J42" s="2" t="s">
        <v>316</v>
      </c>
      <c r="K42" s="2" t="s">
        <v>29</v>
      </c>
      <c r="L42" s="2" t="s">
        <v>26</v>
      </c>
      <c r="M42" s="2"/>
      <c r="N42" s="2"/>
      <c r="O42" s="2" t="s">
        <v>80</v>
      </c>
    </row>
    <row r="43" spans="1:15" ht="96" customHeight="1">
      <c r="A43" s="2">
        <v>42</v>
      </c>
      <c r="B43" s="2" t="s">
        <v>317</v>
      </c>
      <c r="C43" s="2"/>
      <c r="D43" s="2" t="s">
        <v>164</v>
      </c>
      <c r="E43" s="2" t="s">
        <v>74</v>
      </c>
      <c r="F43" s="2" t="s">
        <v>318</v>
      </c>
      <c r="G43" s="2" t="s">
        <v>319</v>
      </c>
      <c r="H43" s="2" t="s">
        <v>320</v>
      </c>
      <c r="I43" s="2" t="s">
        <v>321</v>
      </c>
      <c r="J43" s="2" t="s">
        <v>322</v>
      </c>
      <c r="K43" s="2" t="s">
        <v>27</v>
      </c>
      <c r="L43" s="2" t="s">
        <v>26</v>
      </c>
      <c r="M43" s="2"/>
      <c r="N43" s="2"/>
      <c r="O43" s="2" t="s">
        <v>80</v>
      </c>
    </row>
    <row r="44" spans="1:15" ht="96" customHeight="1">
      <c r="A44" s="2">
        <v>43</v>
      </c>
      <c r="B44" s="2" t="s">
        <v>323</v>
      </c>
      <c r="C44" s="2"/>
      <c r="D44" s="2" t="s">
        <v>164</v>
      </c>
      <c r="E44" s="2" t="s">
        <v>29</v>
      </c>
      <c r="F44" s="2" t="s">
        <v>324</v>
      </c>
      <c r="G44" s="2" t="s">
        <v>325</v>
      </c>
      <c r="H44" s="2" t="s">
        <v>326</v>
      </c>
      <c r="I44" s="2" t="s">
        <v>327</v>
      </c>
      <c r="J44" s="2" t="s">
        <v>328</v>
      </c>
      <c r="K44" s="2" t="s">
        <v>29</v>
      </c>
      <c r="L44" s="2" t="s">
        <v>26</v>
      </c>
      <c r="M44" s="2"/>
      <c r="N44" s="2"/>
      <c r="O44" s="2" t="s">
        <v>80</v>
      </c>
    </row>
    <row r="45" spans="1:15" ht="96" customHeight="1">
      <c r="A45" s="2">
        <v>44</v>
      </c>
      <c r="B45" s="2" t="s">
        <v>329</v>
      </c>
      <c r="C45" s="2"/>
      <c r="D45" s="2" t="s">
        <v>330</v>
      </c>
      <c r="E45" s="2" t="s">
        <v>74</v>
      </c>
      <c r="F45" s="2" t="s">
        <v>331</v>
      </c>
      <c r="G45" s="2" t="s">
        <v>332</v>
      </c>
      <c r="H45" s="2" t="s">
        <v>333</v>
      </c>
      <c r="I45" s="2" t="s">
        <v>334</v>
      </c>
      <c r="J45" s="2" t="s">
        <v>335</v>
      </c>
      <c r="K45" s="2" t="s">
        <v>27</v>
      </c>
      <c r="L45" s="2" t="s">
        <v>26</v>
      </c>
      <c r="M45" s="2"/>
      <c r="N45" s="2"/>
      <c r="O45" s="2" t="s">
        <v>336</v>
      </c>
    </row>
    <row r="46" spans="1:15" ht="96" customHeight="1">
      <c r="A46" s="2">
        <v>45</v>
      </c>
      <c r="B46" s="2" t="s">
        <v>337</v>
      </c>
      <c r="C46" s="2"/>
      <c r="D46" s="2" t="s">
        <v>330</v>
      </c>
      <c r="E46" s="2" t="s">
        <v>74</v>
      </c>
      <c r="F46" s="2" t="s">
        <v>338</v>
      </c>
      <c r="G46" s="2" t="s">
        <v>339</v>
      </c>
      <c r="H46" s="2" t="s">
        <v>340</v>
      </c>
      <c r="I46" s="2" t="s">
        <v>341</v>
      </c>
      <c r="J46" s="2" t="s">
        <v>342</v>
      </c>
      <c r="K46" s="2" t="s">
        <v>27</v>
      </c>
      <c r="L46" s="2" t="s">
        <v>26</v>
      </c>
      <c r="M46" s="2"/>
      <c r="N46" s="2"/>
      <c r="O46" s="2" t="s">
        <v>336</v>
      </c>
    </row>
    <row r="47" spans="1:15" ht="96" customHeight="1">
      <c r="A47" s="2">
        <v>46</v>
      </c>
      <c r="B47" s="2" t="s">
        <v>343</v>
      </c>
      <c r="C47" s="2"/>
      <c r="D47" s="2" t="s">
        <v>330</v>
      </c>
      <c r="E47" s="2" t="s">
        <v>74</v>
      </c>
      <c r="F47" s="2" t="s">
        <v>344</v>
      </c>
      <c r="G47" s="2" t="s">
        <v>345</v>
      </c>
      <c r="H47" s="2" t="s">
        <v>346</v>
      </c>
      <c r="I47" s="2" t="s">
        <v>347</v>
      </c>
      <c r="J47" s="2" t="s">
        <v>348</v>
      </c>
      <c r="K47" s="2" t="s">
        <v>27</v>
      </c>
      <c r="L47" s="2" t="s">
        <v>26</v>
      </c>
      <c r="M47" s="2"/>
      <c r="N47" s="2"/>
      <c r="O47" s="2" t="s">
        <v>336</v>
      </c>
    </row>
    <row r="48" spans="1:15" ht="96" customHeight="1">
      <c r="A48" s="2">
        <v>47</v>
      </c>
      <c r="B48" s="2" t="s">
        <v>349</v>
      </c>
      <c r="C48" s="2"/>
      <c r="D48" s="2" t="s">
        <v>330</v>
      </c>
      <c r="E48" s="2" t="s">
        <v>74</v>
      </c>
      <c r="F48" s="2" t="s">
        <v>350</v>
      </c>
      <c r="G48" s="2" t="s">
        <v>351</v>
      </c>
      <c r="H48" s="2" t="s">
        <v>352</v>
      </c>
      <c r="I48" s="2" t="s">
        <v>353</v>
      </c>
      <c r="J48" s="2" t="s">
        <v>354</v>
      </c>
      <c r="K48" s="2" t="s">
        <v>27</v>
      </c>
      <c r="L48" s="2" t="s">
        <v>26</v>
      </c>
      <c r="M48" s="2"/>
      <c r="N48" s="2"/>
      <c r="O48" s="2" t="s">
        <v>336</v>
      </c>
    </row>
    <row r="49" spans="1:15" ht="96" customHeight="1">
      <c r="A49" s="2">
        <v>48</v>
      </c>
      <c r="B49" s="2" t="s">
        <v>355</v>
      </c>
      <c r="C49" s="2" t="s">
        <v>356</v>
      </c>
      <c r="D49" s="2" t="s">
        <v>330</v>
      </c>
      <c r="E49" s="2" t="s">
        <v>29</v>
      </c>
      <c r="F49" s="2" t="s">
        <v>357</v>
      </c>
      <c r="G49" s="2" t="s">
        <v>358</v>
      </c>
      <c r="H49" s="2" t="s">
        <v>359</v>
      </c>
      <c r="I49" s="2" t="s">
        <v>360</v>
      </c>
      <c r="J49" s="2" t="s">
        <v>361</v>
      </c>
      <c r="K49" s="2" t="s">
        <v>27</v>
      </c>
      <c r="L49" s="2" t="s">
        <v>26</v>
      </c>
      <c r="M49" s="2"/>
      <c r="N49" s="2"/>
      <c r="O49" s="2" t="s">
        <v>336</v>
      </c>
    </row>
    <row r="50" spans="1:15" ht="96" customHeight="1">
      <c r="A50" s="2">
        <v>49</v>
      </c>
      <c r="B50" s="2" t="s">
        <v>362</v>
      </c>
      <c r="C50" s="2" t="s">
        <v>363</v>
      </c>
      <c r="D50" s="2" t="s">
        <v>330</v>
      </c>
      <c r="E50" s="2" t="s">
        <v>29</v>
      </c>
      <c r="F50" s="2" t="s">
        <v>364</v>
      </c>
      <c r="G50" s="2" t="s">
        <v>365</v>
      </c>
      <c r="H50" s="2" t="s">
        <v>366</v>
      </c>
      <c r="I50" s="2" t="s">
        <v>367</v>
      </c>
      <c r="J50" s="2" t="s">
        <v>368</v>
      </c>
      <c r="K50" s="2" t="s">
        <v>29</v>
      </c>
      <c r="L50" s="2" t="s">
        <v>26</v>
      </c>
      <c r="M50" s="2"/>
      <c r="N50" s="2"/>
      <c r="O50" s="2" t="s">
        <v>336</v>
      </c>
    </row>
    <row r="51" spans="1:15" ht="96" customHeight="1">
      <c r="A51" s="2">
        <v>50</v>
      </c>
      <c r="B51" s="2" t="s">
        <v>369</v>
      </c>
      <c r="C51" s="2" t="s">
        <v>370</v>
      </c>
      <c r="D51" s="2" t="s">
        <v>330</v>
      </c>
      <c r="E51" s="2" t="s">
        <v>29</v>
      </c>
      <c r="F51" s="2" t="s">
        <v>371</v>
      </c>
      <c r="G51" s="2" t="s">
        <v>372</v>
      </c>
      <c r="H51" s="2" t="s">
        <v>373</v>
      </c>
      <c r="I51" s="2" t="s">
        <v>374</v>
      </c>
      <c r="J51" s="2" t="s">
        <v>375</v>
      </c>
      <c r="K51" s="2" t="s">
        <v>29</v>
      </c>
      <c r="L51" s="2" t="s">
        <v>26</v>
      </c>
      <c r="M51" s="2"/>
      <c r="N51" s="2"/>
      <c r="O51" s="2" t="s">
        <v>336</v>
      </c>
    </row>
    <row r="52" spans="1:15" ht="96" customHeight="1">
      <c r="A52" s="2">
        <v>51</v>
      </c>
      <c r="B52" s="2" t="s">
        <v>376</v>
      </c>
      <c r="C52" s="2" t="s">
        <v>377</v>
      </c>
      <c r="D52" s="2" t="s">
        <v>330</v>
      </c>
      <c r="E52" s="2" t="s">
        <v>29</v>
      </c>
      <c r="F52" s="2" t="s">
        <v>378</v>
      </c>
      <c r="G52" s="2" t="s">
        <v>379</v>
      </c>
      <c r="H52" s="2" t="s">
        <v>380</v>
      </c>
      <c r="I52" s="2" t="s">
        <v>381</v>
      </c>
      <c r="J52" s="2" t="s">
        <v>382</v>
      </c>
      <c r="K52" s="2" t="s">
        <v>29</v>
      </c>
      <c r="L52" s="2" t="s">
        <v>26</v>
      </c>
      <c r="M52" s="2"/>
      <c r="N52" s="2"/>
      <c r="O52" s="2" t="s">
        <v>336</v>
      </c>
    </row>
    <row r="53" spans="1:15" ht="96" customHeight="1">
      <c r="A53" s="2">
        <v>52</v>
      </c>
      <c r="B53" s="2" t="s">
        <v>383</v>
      </c>
      <c r="C53" s="2"/>
      <c r="D53" s="2" t="s">
        <v>330</v>
      </c>
      <c r="E53" s="2" t="s">
        <v>29</v>
      </c>
      <c r="F53" s="2" t="s">
        <v>384</v>
      </c>
      <c r="G53" s="2" t="s">
        <v>385</v>
      </c>
      <c r="H53" s="2" t="s">
        <v>386</v>
      </c>
      <c r="I53" s="2" t="s">
        <v>387</v>
      </c>
      <c r="J53" s="2" t="s">
        <v>388</v>
      </c>
      <c r="K53" s="2" t="s">
        <v>29</v>
      </c>
      <c r="L53" s="2" t="s">
        <v>26</v>
      </c>
      <c r="M53" s="2"/>
      <c r="N53" s="2"/>
      <c r="O53" s="2" t="s">
        <v>336</v>
      </c>
    </row>
    <row r="54" spans="1:15" ht="96" customHeight="1">
      <c r="A54" s="2">
        <v>53</v>
      </c>
      <c r="B54" s="2" t="s">
        <v>389</v>
      </c>
      <c r="C54" s="2" t="s">
        <v>390</v>
      </c>
      <c r="D54" s="2" t="s">
        <v>330</v>
      </c>
      <c r="E54" s="2" t="s">
        <v>29</v>
      </c>
      <c r="F54" s="2" t="s">
        <v>391</v>
      </c>
      <c r="G54" s="2" t="s">
        <v>392</v>
      </c>
      <c r="H54" s="2" t="s">
        <v>393</v>
      </c>
      <c r="I54" s="2" t="s">
        <v>394</v>
      </c>
      <c r="J54" s="2" t="s">
        <v>395</v>
      </c>
      <c r="K54" s="2" t="s">
        <v>27</v>
      </c>
      <c r="L54" s="2" t="s">
        <v>26</v>
      </c>
      <c r="M54" s="2"/>
      <c r="N54" s="2"/>
      <c r="O54" s="2" t="s">
        <v>336</v>
      </c>
    </row>
    <row r="55" spans="1:15" ht="96" customHeight="1">
      <c r="A55" s="2">
        <v>54</v>
      </c>
      <c r="B55" s="2" t="s">
        <v>396</v>
      </c>
      <c r="C55" s="2" t="s">
        <v>397</v>
      </c>
      <c r="D55" s="2" t="s">
        <v>330</v>
      </c>
      <c r="E55" s="2" t="s">
        <v>311</v>
      </c>
      <c r="F55" s="2" t="s">
        <v>398</v>
      </c>
      <c r="G55" s="2" t="s">
        <v>399</v>
      </c>
      <c r="H55" s="2" t="s">
        <v>400</v>
      </c>
      <c r="I55" s="2" t="s">
        <v>401</v>
      </c>
      <c r="J55" s="2" t="s">
        <v>402</v>
      </c>
      <c r="K55" s="2" t="s">
        <v>29</v>
      </c>
      <c r="L55" s="2" t="s">
        <v>26</v>
      </c>
      <c r="M55" s="2"/>
      <c r="N55" s="2"/>
      <c r="O55" s="2" t="s">
        <v>336</v>
      </c>
    </row>
    <row r="56" spans="1:15" ht="96" customHeight="1">
      <c r="A56" s="2">
        <v>55</v>
      </c>
      <c r="B56" s="2" t="s">
        <v>403</v>
      </c>
      <c r="C56" s="2"/>
      <c r="D56" s="2" t="s">
        <v>330</v>
      </c>
      <c r="E56" s="2" t="s">
        <v>29</v>
      </c>
      <c r="F56" s="2" t="s">
        <v>404</v>
      </c>
      <c r="G56" s="2" t="s">
        <v>405</v>
      </c>
      <c r="H56" s="2" t="s">
        <v>406</v>
      </c>
      <c r="I56" s="2" t="s">
        <v>407</v>
      </c>
      <c r="J56" s="2" t="s">
        <v>408</v>
      </c>
      <c r="K56" s="2" t="s">
        <v>27</v>
      </c>
      <c r="L56" s="2" t="s">
        <v>26</v>
      </c>
      <c r="M56" s="2"/>
      <c r="N56" s="2"/>
      <c r="O56" s="2" t="s">
        <v>336</v>
      </c>
    </row>
    <row r="57" spans="1:15" ht="96" customHeight="1">
      <c r="A57" s="2">
        <v>56</v>
      </c>
      <c r="B57" s="2" t="s">
        <v>409</v>
      </c>
      <c r="C57" s="2"/>
      <c r="D57" s="2" t="s">
        <v>330</v>
      </c>
      <c r="E57" s="2" t="s">
        <v>29</v>
      </c>
      <c r="F57" s="2" t="s">
        <v>410</v>
      </c>
      <c r="G57" s="2" t="s">
        <v>411</v>
      </c>
      <c r="H57" s="2" t="s">
        <v>412</v>
      </c>
      <c r="I57" s="2" t="s">
        <v>413</v>
      </c>
      <c r="J57" s="2" t="s">
        <v>414</v>
      </c>
      <c r="K57" s="2" t="s">
        <v>27</v>
      </c>
      <c r="L57" s="2" t="s">
        <v>26</v>
      </c>
      <c r="M57" s="2"/>
      <c r="N57" s="2"/>
      <c r="O57" s="2" t="s">
        <v>336</v>
      </c>
    </row>
    <row r="58" spans="1:15" ht="96" customHeight="1">
      <c r="A58" s="2">
        <v>57</v>
      </c>
      <c r="B58" s="2" t="s">
        <v>415</v>
      </c>
      <c r="C58" s="2"/>
      <c r="D58" s="2" t="s">
        <v>330</v>
      </c>
      <c r="E58" s="2" t="s">
        <v>74</v>
      </c>
      <c r="F58" s="2" t="s">
        <v>416</v>
      </c>
      <c r="G58" s="2" t="s">
        <v>417</v>
      </c>
      <c r="H58" s="2" t="s">
        <v>418</v>
      </c>
      <c r="I58" s="2" t="s">
        <v>419</v>
      </c>
      <c r="J58" s="2" t="s">
        <v>420</v>
      </c>
      <c r="K58" s="2" t="s">
        <v>29</v>
      </c>
      <c r="L58" s="2" t="s">
        <v>26</v>
      </c>
      <c r="M58" s="2"/>
      <c r="N58" s="2"/>
      <c r="O58" s="2" t="s">
        <v>336</v>
      </c>
    </row>
    <row r="59" spans="1:15" ht="96" customHeight="1">
      <c r="A59" s="2">
        <v>58</v>
      </c>
      <c r="B59" s="2" t="s">
        <v>421</v>
      </c>
      <c r="C59" s="2"/>
      <c r="D59" s="2" t="s">
        <v>330</v>
      </c>
      <c r="E59" s="2" t="s">
        <v>74</v>
      </c>
      <c r="F59" s="2" t="s">
        <v>422</v>
      </c>
      <c r="G59" s="2" t="s">
        <v>423</v>
      </c>
      <c r="H59" s="2" t="s">
        <v>424</v>
      </c>
      <c r="I59" s="2" t="s">
        <v>425</v>
      </c>
      <c r="J59" s="2" t="s">
        <v>426</v>
      </c>
      <c r="K59" s="2" t="s">
        <v>29</v>
      </c>
      <c r="L59" s="2" t="s">
        <v>26</v>
      </c>
      <c r="M59" s="2"/>
      <c r="N59" s="2"/>
      <c r="O59" s="2" t="s">
        <v>336</v>
      </c>
    </row>
    <row r="60" spans="1:15" ht="96" customHeight="1">
      <c r="A60" s="2">
        <v>59</v>
      </c>
      <c r="B60" s="2" t="s">
        <v>427</v>
      </c>
      <c r="C60" s="2"/>
      <c r="D60" s="2" t="s">
        <v>330</v>
      </c>
      <c r="E60" s="2" t="s">
        <v>74</v>
      </c>
      <c r="F60" s="2" t="s">
        <v>428</v>
      </c>
      <c r="G60" s="2" t="s">
        <v>429</v>
      </c>
      <c r="H60" s="2" t="s">
        <v>430</v>
      </c>
      <c r="I60" s="2" t="s">
        <v>431</v>
      </c>
      <c r="J60" s="2" t="s">
        <v>432</v>
      </c>
      <c r="K60" s="2" t="s">
        <v>29</v>
      </c>
      <c r="L60" s="2" t="s">
        <v>26</v>
      </c>
      <c r="M60" s="2"/>
      <c r="N60" s="2"/>
      <c r="O60" s="2" t="s">
        <v>336</v>
      </c>
    </row>
    <row r="61" spans="1:15" ht="96" customHeight="1">
      <c r="A61" s="2">
        <v>60</v>
      </c>
      <c r="B61" s="2" t="s">
        <v>433</v>
      </c>
      <c r="C61" s="2"/>
      <c r="D61" s="2" t="s">
        <v>330</v>
      </c>
      <c r="E61" s="2" t="s">
        <v>74</v>
      </c>
      <c r="F61" s="2" t="s">
        <v>434</v>
      </c>
      <c r="G61" s="2" t="s">
        <v>435</v>
      </c>
      <c r="H61" s="2" t="s">
        <v>436</v>
      </c>
      <c r="I61" s="2" t="s">
        <v>437</v>
      </c>
      <c r="J61" s="2" t="s">
        <v>438</v>
      </c>
      <c r="K61" s="2" t="s">
        <v>29</v>
      </c>
      <c r="L61" s="2" t="s">
        <v>26</v>
      </c>
      <c r="M61" s="2"/>
      <c r="N61" s="2"/>
      <c r="O61" s="2" t="s">
        <v>336</v>
      </c>
    </row>
    <row r="62" spans="1:15" ht="96" customHeight="1">
      <c r="A62" s="2">
        <v>61</v>
      </c>
      <c r="B62" s="2" t="s">
        <v>439</v>
      </c>
      <c r="C62" s="2"/>
      <c r="D62" s="2" t="s">
        <v>330</v>
      </c>
      <c r="E62" s="2" t="s">
        <v>29</v>
      </c>
      <c r="F62" s="2" t="s">
        <v>440</v>
      </c>
      <c r="G62" s="2" t="s">
        <v>441</v>
      </c>
      <c r="H62" s="2" t="s">
        <v>442</v>
      </c>
      <c r="I62" s="2" t="s">
        <v>443</v>
      </c>
      <c r="J62" s="2" t="s">
        <v>444</v>
      </c>
      <c r="K62" s="2" t="s">
        <v>29</v>
      </c>
      <c r="L62" s="2" t="s">
        <v>26</v>
      </c>
      <c r="M62" s="2"/>
      <c r="N62" s="2"/>
      <c r="O62" s="2" t="s">
        <v>336</v>
      </c>
    </row>
    <row r="63" spans="1:15" ht="96" customHeight="1">
      <c r="A63" s="2">
        <v>62</v>
      </c>
      <c r="B63" s="2" t="s">
        <v>445</v>
      </c>
      <c r="C63" s="2"/>
      <c r="D63" s="2" t="s">
        <v>330</v>
      </c>
      <c r="E63" s="2" t="s">
        <v>29</v>
      </c>
      <c r="F63" s="2" t="s">
        <v>446</v>
      </c>
      <c r="G63" s="2" t="s">
        <v>447</v>
      </c>
      <c r="H63" s="2" t="s">
        <v>448</v>
      </c>
      <c r="I63" s="2" t="s">
        <v>449</v>
      </c>
      <c r="J63" s="2" t="s">
        <v>450</v>
      </c>
      <c r="K63" s="2" t="s">
        <v>29</v>
      </c>
      <c r="L63" s="2" t="s">
        <v>26</v>
      </c>
      <c r="M63" s="2"/>
      <c r="N63" s="2"/>
      <c r="O63" s="2" t="s">
        <v>336</v>
      </c>
    </row>
    <row r="64" spans="1:15" ht="96" customHeight="1">
      <c r="A64" s="2">
        <v>63</v>
      </c>
      <c r="B64" s="2" t="s">
        <v>451</v>
      </c>
      <c r="C64" s="2" t="s">
        <v>452</v>
      </c>
      <c r="D64" s="2" t="s">
        <v>330</v>
      </c>
      <c r="E64" s="2" t="s">
        <v>311</v>
      </c>
      <c r="F64" s="2" t="s">
        <v>453</v>
      </c>
      <c r="G64" s="2" t="s">
        <v>454</v>
      </c>
      <c r="H64" s="2" t="s">
        <v>455</v>
      </c>
      <c r="I64" s="2" t="s">
        <v>456</v>
      </c>
      <c r="J64" s="2" t="s">
        <v>457</v>
      </c>
      <c r="K64" s="2" t="s">
        <v>29</v>
      </c>
      <c r="L64" s="2" t="s">
        <v>26</v>
      </c>
      <c r="M64" s="2"/>
      <c r="N64" s="2"/>
      <c r="O64" s="2" t="s">
        <v>336</v>
      </c>
    </row>
    <row r="65" spans="1:15" ht="96" customHeight="1">
      <c r="A65" s="2">
        <v>64</v>
      </c>
      <c r="B65" s="2" t="s">
        <v>458</v>
      </c>
      <c r="C65" s="2"/>
      <c r="D65" s="2" t="s">
        <v>330</v>
      </c>
      <c r="E65" s="2" t="s">
        <v>29</v>
      </c>
      <c r="F65" s="2" t="s">
        <v>459</v>
      </c>
      <c r="G65" s="2" t="s">
        <v>460</v>
      </c>
      <c r="H65" s="2" t="s">
        <v>461</v>
      </c>
      <c r="I65" s="2" t="s">
        <v>462</v>
      </c>
      <c r="J65" s="2" t="s">
        <v>463</v>
      </c>
      <c r="K65" s="2" t="s">
        <v>27</v>
      </c>
      <c r="L65" s="2" t="s">
        <v>26</v>
      </c>
      <c r="M65" s="2"/>
      <c r="N65" s="2"/>
      <c r="O65" s="2" t="s">
        <v>336</v>
      </c>
    </row>
    <row r="66" spans="1:15" ht="96" customHeight="1">
      <c r="A66" s="2">
        <v>65</v>
      </c>
      <c r="B66" s="2" t="s">
        <v>464</v>
      </c>
      <c r="C66" s="2"/>
      <c r="D66" s="2" t="s">
        <v>330</v>
      </c>
      <c r="E66" s="2" t="s">
        <v>29</v>
      </c>
      <c r="F66" s="2" t="s">
        <v>465</v>
      </c>
      <c r="G66" s="2" t="s">
        <v>466</v>
      </c>
      <c r="H66" s="2" t="s">
        <v>467</v>
      </c>
      <c r="I66" s="2" t="s">
        <v>468</v>
      </c>
      <c r="J66" s="2" t="s">
        <v>469</v>
      </c>
      <c r="K66" s="2" t="s">
        <v>29</v>
      </c>
      <c r="L66" s="2" t="s">
        <v>26</v>
      </c>
      <c r="M66" s="2"/>
      <c r="N66" s="2"/>
      <c r="O66" s="2" t="s">
        <v>336</v>
      </c>
    </row>
    <row r="67" spans="1:15" ht="96" customHeight="1">
      <c r="A67" s="2">
        <v>66</v>
      </c>
      <c r="B67" s="2" t="s">
        <v>470</v>
      </c>
      <c r="C67" s="2"/>
      <c r="D67" s="2" t="s">
        <v>330</v>
      </c>
      <c r="E67" s="2" t="s">
        <v>29</v>
      </c>
      <c r="F67" s="2" t="s">
        <v>471</v>
      </c>
      <c r="G67" s="2" t="s">
        <v>472</v>
      </c>
      <c r="H67" s="2" t="s">
        <v>473</v>
      </c>
      <c r="I67" s="2" t="s">
        <v>474</v>
      </c>
      <c r="J67" s="2" t="s">
        <v>475</v>
      </c>
      <c r="K67" s="2" t="s">
        <v>29</v>
      </c>
      <c r="L67" s="2" t="s">
        <v>26</v>
      </c>
      <c r="M67" s="2"/>
      <c r="N67" s="2"/>
      <c r="O67" s="2" t="s">
        <v>336</v>
      </c>
    </row>
    <row r="68" spans="1:15" ht="96" customHeight="1">
      <c r="A68" s="2">
        <v>67</v>
      </c>
      <c r="B68" s="2" t="s">
        <v>476</v>
      </c>
      <c r="C68" s="2"/>
      <c r="D68" s="2" t="s">
        <v>330</v>
      </c>
      <c r="E68" s="2" t="s">
        <v>74</v>
      </c>
      <c r="F68" s="2" t="s">
        <v>477</v>
      </c>
      <c r="G68" s="2" t="s">
        <v>478</v>
      </c>
      <c r="H68" s="2" t="s">
        <v>479</v>
      </c>
      <c r="I68" s="2" t="s">
        <v>480</v>
      </c>
      <c r="J68" s="2" t="s">
        <v>481</v>
      </c>
      <c r="K68" s="2" t="s">
        <v>27</v>
      </c>
      <c r="L68" s="2" t="s">
        <v>26</v>
      </c>
      <c r="M68" s="2"/>
      <c r="N68" s="2"/>
      <c r="O68" s="2" t="s">
        <v>336</v>
      </c>
    </row>
    <row r="69" spans="1:15" ht="96" customHeight="1">
      <c r="A69" s="2">
        <v>68</v>
      </c>
      <c r="B69" s="2" t="s">
        <v>482</v>
      </c>
      <c r="C69" s="2"/>
      <c r="D69" s="2" t="s">
        <v>330</v>
      </c>
      <c r="E69" s="2" t="s">
        <v>74</v>
      </c>
      <c r="F69" s="2" t="s">
        <v>483</v>
      </c>
      <c r="G69" s="2" t="s">
        <v>484</v>
      </c>
      <c r="H69" s="2" t="s">
        <v>485</v>
      </c>
      <c r="I69" s="2" t="s">
        <v>486</v>
      </c>
      <c r="J69" s="2" t="s">
        <v>487</v>
      </c>
      <c r="K69" s="2" t="s">
        <v>29</v>
      </c>
      <c r="L69" s="2" t="s">
        <v>26</v>
      </c>
      <c r="M69" s="2"/>
      <c r="N69" s="2"/>
      <c r="O69" s="2" t="s">
        <v>336</v>
      </c>
    </row>
    <row r="70" spans="1:15" ht="96" customHeight="1">
      <c r="A70" s="2">
        <v>69</v>
      </c>
      <c r="B70" s="2" t="s">
        <v>488</v>
      </c>
      <c r="C70" s="2"/>
      <c r="D70" s="2" t="s">
        <v>330</v>
      </c>
      <c r="E70" s="2" t="s">
        <v>29</v>
      </c>
      <c r="F70" s="2" t="s">
        <v>489</v>
      </c>
      <c r="G70" s="2" t="s">
        <v>490</v>
      </c>
      <c r="H70" s="2" t="s">
        <v>491</v>
      </c>
      <c r="I70" s="2" t="s">
        <v>492</v>
      </c>
      <c r="J70" s="2" t="s">
        <v>493</v>
      </c>
      <c r="K70" s="2" t="s">
        <v>27</v>
      </c>
      <c r="L70" s="2" t="s">
        <v>26</v>
      </c>
      <c r="M70" s="2"/>
      <c r="N70" s="2"/>
      <c r="O70" s="2" t="s">
        <v>336</v>
      </c>
    </row>
    <row r="71" spans="1:15" ht="96" customHeight="1">
      <c r="A71" s="2">
        <v>70</v>
      </c>
      <c r="B71" s="2" t="s">
        <v>494</v>
      </c>
      <c r="C71" s="2"/>
      <c r="D71" s="2" t="s">
        <v>330</v>
      </c>
      <c r="E71" s="2" t="s">
        <v>29</v>
      </c>
      <c r="F71" s="2" t="s">
        <v>495</v>
      </c>
      <c r="G71" s="2" t="s">
        <v>496</v>
      </c>
      <c r="H71" s="2" t="s">
        <v>497</v>
      </c>
      <c r="I71" s="2" t="s">
        <v>498</v>
      </c>
      <c r="J71" s="2" t="s">
        <v>499</v>
      </c>
      <c r="K71" s="2" t="s">
        <v>29</v>
      </c>
      <c r="L71" s="2" t="s">
        <v>26</v>
      </c>
      <c r="M71" s="2"/>
      <c r="N71" s="2"/>
      <c r="O71" s="2" t="s">
        <v>336</v>
      </c>
    </row>
    <row r="72" spans="1:15" ht="96" customHeight="1">
      <c r="A72" s="2">
        <v>71</v>
      </c>
      <c r="B72" s="2" t="s">
        <v>500</v>
      </c>
      <c r="C72" s="2"/>
      <c r="D72" s="2" t="s">
        <v>330</v>
      </c>
      <c r="E72" s="2" t="s">
        <v>74</v>
      </c>
      <c r="F72" s="2" t="s">
        <v>501</v>
      </c>
      <c r="G72" s="2" t="s">
        <v>502</v>
      </c>
      <c r="H72" s="2" t="s">
        <v>503</v>
      </c>
      <c r="I72" s="2" t="s">
        <v>504</v>
      </c>
      <c r="J72" s="2" t="s">
        <v>505</v>
      </c>
      <c r="K72" s="2" t="s">
        <v>27</v>
      </c>
      <c r="L72" s="2" t="s">
        <v>26</v>
      </c>
      <c r="M72" s="2"/>
      <c r="N72" s="2"/>
      <c r="O72" s="2" t="s">
        <v>336</v>
      </c>
    </row>
    <row r="73" spans="1:15" ht="96" customHeight="1">
      <c r="A73" s="2">
        <v>72</v>
      </c>
      <c r="B73" s="2" t="s">
        <v>506</v>
      </c>
      <c r="C73" s="2"/>
      <c r="D73" s="2" t="s">
        <v>330</v>
      </c>
      <c r="E73" s="2" t="s">
        <v>29</v>
      </c>
      <c r="F73" s="2" t="s">
        <v>507</v>
      </c>
      <c r="G73" s="2" t="s">
        <v>508</v>
      </c>
      <c r="H73" s="2" t="s">
        <v>509</v>
      </c>
      <c r="I73" s="2" t="s">
        <v>510</v>
      </c>
      <c r="J73" s="2" t="s">
        <v>511</v>
      </c>
      <c r="K73" s="2" t="s">
        <v>29</v>
      </c>
      <c r="L73" s="2" t="s">
        <v>26</v>
      </c>
      <c r="M73" s="2"/>
      <c r="N73" s="2"/>
      <c r="O73" s="2" t="s">
        <v>336</v>
      </c>
    </row>
    <row r="74" spans="1:15" ht="96" customHeight="1">
      <c r="A74" s="2">
        <v>73</v>
      </c>
      <c r="B74" s="2" t="s">
        <v>512</v>
      </c>
      <c r="C74" s="2" t="s">
        <v>513</v>
      </c>
      <c r="D74" s="2" t="s">
        <v>330</v>
      </c>
      <c r="E74" s="2" t="s">
        <v>29</v>
      </c>
      <c r="F74" s="2" t="s">
        <v>514</v>
      </c>
      <c r="G74" s="2" t="s">
        <v>515</v>
      </c>
      <c r="H74" s="2" t="s">
        <v>516</v>
      </c>
      <c r="I74" s="2" t="s">
        <v>517</v>
      </c>
      <c r="J74" s="2" t="s">
        <v>518</v>
      </c>
      <c r="K74" s="2" t="s">
        <v>27</v>
      </c>
      <c r="L74" s="2" t="s">
        <v>26</v>
      </c>
      <c r="M74" s="2"/>
      <c r="N74" s="2"/>
      <c r="O74" s="2" t="s">
        <v>336</v>
      </c>
    </row>
    <row r="75" spans="1:15" ht="96" customHeight="1">
      <c r="A75" s="2">
        <v>74</v>
      </c>
      <c r="B75" s="2" t="s">
        <v>51</v>
      </c>
      <c r="C75" s="2"/>
      <c r="D75" s="2" t="s">
        <v>330</v>
      </c>
      <c r="E75" s="2" t="s">
        <v>74</v>
      </c>
      <c r="F75" s="2" t="s">
        <v>519</v>
      </c>
      <c r="G75" s="2" t="s">
        <v>520</v>
      </c>
      <c r="H75" s="2" t="s">
        <v>521</v>
      </c>
      <c r="I75" s="2" t="s">
        <v>522</v>
      </c>
      <c r="J75" s="2" t="s">
        <v>523</v>
      </c>
      <c r="K75" s="2" t="s">
        <v>27</v>
      </c>
      <c r="L75" s="2" t="s">
        <v>26</v>
      </c>
      <c r="M75" s="2"/>
      <c r="N75" s="2"/>
      <c r="O75" s="2" t="s">
        <v>336</v>
      </c>
    </row>
    <row r="76" spans="1:15" ht="96" customHeight="1">
      <c r="A76" s="2">
        <v>75</v>
      </c>
      <c r="B76" s="2" t="s">
        <v>524</v>
      </c>
      <c r="C76" s="2" t="s">
        <v>525</v>
      </c>
      <c r="D76" s="2" t="s">
        <v>330</v>
      </c>
      <c r="E76" s="2" t="s">
        <v>29</v>
      </c>
      <c r="F76" s="2" t="s">
        <v>526</v>
      </c>
      <c r="G76" s="2" t="s">
        <v>527</v>
      </c>
      <c r="H76" s="2" t="s">
        <v>528</v>
      </c>
      <c r="I76" s="2" t="s">
        <v>529</v>
      </c>
      <c r="J76" s="2" t="s">
        <v>530</v>
      </c>
      <c r="K76" s="2" t="s">
        <v>29</v>
      </c>
      <c r="L76" s="2" t="s">
        <v>26</v>
      </c>
      <c r="M76" s="2"/>
      <c r="N76" s="2"/>
      <c r="O76" s="2" t="s">
        <v>336</v>
      </c>
    </row>
    <row r="77" spans="1:15" ht="96" customHeight="1">
      <c r="A77" s="2">
        <v>76</v>
      </c>
      <c r="B77" s="2" t="s">
        <v>531</v>
      </c>
      <c r="C77" s="2"/>
      <c r="D77" s="2" t="s">
        <v>532</v>
      </c>
      <c r="E77" s="2" t="s">
        <v>74</v>
      </c>
      <c r="F77" s="2" t="s">
        <v>533</v>
      </c>
      <c r="G77" s="2" t="s">
        <v>534</v>
      </c>
      <c r="H77" s="2" t="s">
        <v>535</v>
      </c>
      <c r="I77" s="2" t="s">
        <v>536</v>
      </c>
      <c r="J77" s="2" t="s">
        <v>537</v>
      </c>
      <c r="K77" s="2" t="s">
        <v>27</v>
      </c>
      <c r="L77" s="2" t="s">
        <v>26</v>
      </c>
      <c r="M77" s="2"/>
      <c r="N77" s="2"/>
      <c r="O77" s="2" t="s">
        <v>538</v>
      </c>
    </row>
    <row r="78" spans="1:15" ht="96" customHeight="1">
      <c r="A78" s="2">
        <v>77</v>
      </c>
      <c r="B78" s="2" t="s">
        <v>539</v>
      </c>
      <c r="C78" s="2"/>
      <c r="D78" s="2" t="s">
        <v>532</v>
      </c>
      <c r="E78" s="2" t="s">
        <v>74</v>
      </c>
      <c r="F78" s="2" t="s">
        <v>540</v>
      </c>
      <c r="G78" s="2" t="s">
        <v>541</v>
      </c>
      <c r="H78" s="2" t="s">
        <v>542</v>
      </c>
      <c r="I78" s="2" t="s">
        <v>543</v>
      </c>
      <c r="J78" s="2" t="s">
        <v>544</v>
      </c>
      <c r="K78" s="2" t="s">
        <v>27</v>
      </c>
      <c r="L78" s="2" t="s">
        <v>26</v>
      </c>
      <c r="M78" s="2"/>
      <c r="N78" s="2"/>
      <c r="O78" s="2" t="s">
        <v>538</v>
      </c>
    </row>
    <row r="79" spans="1:15" ht="96" customHeight="1">
      <c r="A79" s="2">
        <v>78</v>
      </c>
      <c r="B79" s="2" t="s">
        <v>545</v>
      </c>
      <c r="C79" s="2" t="s">
        <v>546</v>
      </c>
      <c r="D79" s="2" t="s">
        <v>532</v>
      </c>
      <c r="E79" s="2" t="s">
        <v>74</v>
      </c>
      <c r="F79" s="2" t="s">
        <v>547</v>
      </c>
      <c r="G79" s="2" t="s">
        <v>548</v>
      </c>
      <c r="H79" s="2" t="s">
        <v>549</v>
      </c>
      <c r="I79" s="2" t="s">
        <v>550</v>
      </c>
      <c r="J79" s="2" t="s">
        <v>551</v>
      </c>
      <c r="K79" s="2" t="s">
        <v>27</v>
      </c>
      <c r="L79" s="2" t="s">
        <v>26</v>
      </c>
      <c r="M79" s="2"/>
      <c r="N79" s="2"/>
      <c r="O79" s="2" t="s">
        <v>538</v>
      </c>
    </row>
    <row r="80" spans="1:15" ht="96" customHeight="1">
      <c r="A80" s="2">
        <v>79</v>
      </c>
      <c r="B80" s="2" t="s">
        <v>552</v>
      </c>
      <c r="C80" s="2" t="s">
        <v>553</v>
      </c>
      <c r="D80" s="2" t="s">
        <v>532</v>
      </c>
      <c r="E80" s="2" t="s">
        <v>29</v>
      </c>
      <c r="F80" s="2" t="s">
        <v>554</v>
      </c>
      <c r="G80" s="2" t="s">
        <v>555</v>
      </c>
      <c r="H80" s="2" t="s">
        <v>556</v>
      </c>
      <c r="I80" s="2" t="s">
        <v>557</v>
      </c>
      <c r="J80" s="2" t="s">
        <v>558</v>
      </c>
      <c r="K80" s="2" t="s">
        <v>29</v>
      </c>
      <c r="L80" s="2" t="s">
        <v>26</v>
      </c>
      <c r="M80" s="2"/>
      <c r="N80" s="2"/>
      <c r="O80" s="2" t="s">
        <v>538</v>
      </c>
    </row>
    <row r="81" spans="1:15" ht="96" customHeight="1">
      <c r="A81" s="2">
        <v>80</v>
      </c>
      <c r="B81" s="2" t="s">
        <v>559</v>
      </c>
      <c r="C81" s="2"/>
      <c r="D81" s="2" t="s">
        <v>532</v>
      </c>
      <c r="E81" s="2" t="s">
        <v>29</v>
      </c>
      <c r="F81" s="2" t="s">
        <v>560</v>
      </c>
      <c r="G81" s="2" t="s">
        <v>561</v>
      </c>
      <c r="H81" s="2" t="s">
        <v>562</v>
      </c>
      <c r="I81" s="2" t="s">
        <v>563</v>
      </c>
      <c r="J81" s="2" t="s">
        <v>564</v>
      </c>
      <c r="K81" s="2" t="s">
        <v>27</v>
      </c>
      <c r="L81" s="2" t="s">
        <v>26</v>
      </c>
      <c r="M81" s="2"/>
      <c r="N81" s="2"/>
      <c r="O81" s="2" t="s">
        <v>538</v>
      </c>
    </row>
    <row r="82" spans="1:15" ht="96" customHeight="1">
      <c r="A82" s="2">
        <v>81</v>
      </c>
      <c r="B82" s="2" t="s">
        <v>565</v>
      </c>
      <c r="C82" s="2"/>
      <c r="D82" s="2" t="s">
        <v>532</v>
      </c>
      <c r="E82" s="2" t="s">
        <v>29</v>
      </c>
      <c r="F82" s="2" t="s">
        <v>566</v>
      </c>
      <c r="G82" s="2" t="s">
        <v>567</v>
      </c>
      <c r="H82" s="2" t="s">
        <v>568</v>
      </c>
      <c r="I82" s="2" t="s">
        <v>569</v>
      </c>
      <c r="J82" s="2" t="s">
        <v>570</v>
      </c>
      <c r="K82" s="2" t="s">
        <v>29</v>
      </c>
      <c r="L82" s="2" t="s">
        <v>26</v>
      </c>
      <c r="M82" s="2"/>
      <c r="N82" s="2"/>
      <c r="O82" s="2" t="s">
        <v>538</v>
      </c>
    </row>
    <row r="83" spans="1:15" ht="96" customHeight="1">
      <c r="A83" s="2">
        <v>82</v>
      </c>
      <c r="B83" s="2" t="s">
        <v>571</v>
      </c>
      <c r="C83" s="2"/>
      <c r="D83" s="2" t="s">
        <v>532</v>
      </c>
      <c r="E83" s="2" t="s">
        <v>29</v>
      </c>
      <c r="F83" s="2" t="s">
        <v>572</v>
      </c>
      <c r="G83" s="2" t="s">
        <v>573</v>
      </c>
      <c r="H83" s="2" t="s">
        <v>574</v>
      </c>
      <c r="I83" s="2" t="s">
        <v>575</v>
      </c>
      <c r="J83" s="2" t="s">
        <v>576</v>
      </c>
      <c r="K83" s="2" t="s">
        <v>27</v>
      </c>
      <c r="L83" s="2" t="s">
        <v>26</v>
      </c>
      <c r="M83" s="2"/>
      <c r="N83" s="2"/>
      <c r="O83" s="2" t="s">
        <v>538</v>
      </c>
    </row>
    <row r="84" spans="1:15" ht="96" customHeight="1">
      <c r="A84" s="2">
        <v>83</v>
      </c>
      <c r="B84" s="2" t="s">
        <v>577</v>
      </c>
      <c r="C84" s="2"/>
      <c r="D84" s="2" t="s">
        <v>532</v>
      </c>
      <c r="E84" s="2" t="s">
        <v>29</v>
      </c>
      <c r="F84" s="2" t="s">
        <v>578</v>
      </c>
      <c r="G84" s="2" t="s">
        <v>579</v>
      </c>
      <c r="H84" s="2" t="s">
        <v>580</v>
      </c>
      <c r="I84" s="2" t="s">
        <v>581</v>
      </c>
      <c r="J84" s="2" t="s">
        <v>582</v>
      </c>
      <c r="K84" s="2" t="s">
        <v>29</v>
      </c>
      <c r="L84" s="2" t="s">
        <v>26</v>
      </c>
      <c r="M84" s="2"/>
      <c r="N84" s="2"/>
      <c r="O84" s="2" t="s">
        <v>538</v>
      </c>
    </row>
    <row r="85" spans="1:15" ht="96" customHeight="1">
      <c r="A85" s="2">
        <v>84</v>
      </c>
      <c r="B85" s="2" t="s">
        <v>583</v>
      </c>
      <c r="C85" s="2"/>
      <c r="D85" s="2" t="s">
        <v>532</v>
      </c>
      <c r="E85" s="2" t="s">
        <v>74</v>
      </c>
      <c r="F85" s="2" t="s">
        <v>584</v>
      </c>
      <c r="G85" s="2" t="s">
        <v>585</v>
      </c>
      <c r="H85" s="2" t="s">
        <v>586</v>
      </c>
      <c r="I85" s="2" t="s">
        <v>587</v>
      </c>
      <c r="J85" s="2" t="s">
        <v>588</v>
      </c>
      <c r="K85" s="2" t="s">
        <v>27</v>
      </c>
      <c r="L85" s="2" t="s">
        <v>26</v>
      </c>
      <c r="M85" s="2"/>
      <c r="N85" s="2"/>
      <c r="O85" s="2" t="s">
        <v>538</v>
      </c>
    </row>
    <row r="86" spans="1:15" ht="96" customHeight="1">
      <c r="A86" s="2">
        <v>85</v>
      </c>
      <c r="B86" s="2" t="s">
        <v>589</v>
      </c>
      <c r="C86" s="2" t="s">
        <v>590</v>
      </c>
      <c r="D86" s="2" t="s">
        <v>532</v>
      </c>
      <c r="E86" s="2" t="s">
        <v>29</v>
      </c>
      <c r="F86" s="2" t="s">
        <v>591</v>
      </c>
      <c r="G86" s="2" t="s">
        <v>592</v>
      </c>
      <c r="H86" s="2" t="s">
        <v>593</v>
      </c>
      <c r="I86" s="2" t="s">
        <v>594</v>
      </c>
      <c r="J86" s="2" t="s">
        <v>595</v>
      </c>
      <c r="K86" s="2" t="s">
        <v>27</v>
      </c>
      <c r="L86" s="2" t="s">
        <v>26</v>
      </c>
      <c r="M86" s="2"/>
      <c r="N86" s="2"/>
      <c r="O86" s="2" t="s">
        <v>538</v>
      </c>
    </row>
    <row r="87" spans="1:15" ht="96" customHeight="1">
      <c r="A87" s="2">
        <v>86</v>
      </c>
      <c r="B87" s="2" t="s">
        <v>596</v>
      </c>
      <c r="C87" s="2"/>
      <c r="D87" s="2" t="s">
        <v>532</v>
      </c>
      <c r="E87" s="2" t="s">
        <v>29</v>
      </c>
      <c r="F87" s="2" t="s">
        <v>597</v>
      </c>
      <c r="G87" s="2" t="s">
        <v>598</v>
      </c>
      <c r="H87" s="2" t="s">
        <v>599</v>
      </c>
      <c r="I87" s="2" t="s">
        <v>600</v>
      </c>
      <c r="J87" s="2" t="s">
        <v>601</v>
      </c>
      <c r="K87" s="2" t="s">
        <v>27</v>
      </c>
      <c r="L87" s="2" t="s">
        <v>26</v>
      </c>
      <c r="M87" s="2"/>
      <c r="N87" s="2"/>
      <c r="O87" s="2" t="s">
        <v>538</v>
      </c>
    </row>
    <row r="88" spans="1:15" ht="96" customHeight="1">
      <c r="A88" s="2">
        <v>87</v>
      </c>
      <c r="B88" s="2" t="s">
        <v>602</v>
      </c>
      <c r="C88" s="2"/>
      <c r="D88" s="2" t="s">
        <v>532</v>
      </c>
      <c r="E88" s="2" t="s">
        <v>29</v>
      </c>
      <c r="F88" s="2" t="s">
        <v>603</v>
      </c>
      <c r="G88" s="2" t="s">
        <v>604</v>
      </c>
      <c r="H88" s="2" t="s">
        <v>605</v>
      </c>
      <c r="I88" s="2" t="s">
        <v>606</v>
      </c>
      <c r="J88" s="2" t="s">
        <v>607</v>
      </c>
      <c r="K88" s="2" t="s">
        <v>27</v>
      </c>
      <c r="L88" s="2" t="s">
        <v>26</v>
      </c>
      <c r="M88" s="2"/>
      <c r="N88" s="2"/>
      <c r="O88" s="2" t="s">
        <v>538</v>
      </c>
    </row>
    <row r="89" spans="1:15" ht="96" customHeight="1">
      <c r="A89" s="2">
        <v>88</v>
      </c>
      <c r="B89" s="2" t="s">
        <v>608</v>
      </c>
      <c r="C89" s="2"/>
      <c r="D89" s="2" t="s">
        <v>532</v>
      </c>
      <c r="E89" s="2" t="s">
        <v>311</v>
      </c>
      <c r="F89" s="2" t="s">
        <v>609</v>
      </c>
      <c r="G89" s="2" t="s">
        <v>610</v>
      </c>
      <c r="H89" s="2" t="s">
        <v>611</v>
      </c>
      <c r="I89" s="2" t="s">
        <v>612</v>
      </c>
      <c r="J89" s="2" t="s">
        <v>613</v>
      </c>
      <c r="K89" s="2" t="s">
        <v>29</v>
      </c>
      <c r="L89" s="2" t="s">
        <v>26</v>
      </c>
      <c r="M89" s="2"/>
      <c r="N89" s="2"/>
      <c r="O89" s="2" t="s">
        <v>538</v>
      </c>
    </row>
    <row r="90" spans="1:15" ht="96" customHeight="1">
      <c r="A90" s="2">
        <v>89</v>
      </c>
      <c r="B90" s="2" t="s">
        <v>614</v>
      </c>
      <c r="C90" s="2"/>
      <c r="D90" s="2" t="s">
        <v>532</v>
      </c>
      <c r="E90" s="2" t="s">
        <v>29</v>
      </c>
      <c r="F90" s="2" t="s">
        <v>615</v>
      </c>
      <c r="G90" s="2" t="s">
        <v>616</v>
      </c>
      <c r="H90" s="2" t="s">
        <v>617</v>
      </c>
      <c r="I90" s="2" t="s">
        <v>618</v>
      </c>
      <c r="J90" s="2" t="s">
        <v>619</v>
      </c>
      <c r="K90" s="2" t="s">
        <v>29</v>
      </c>
      <c r="L90" s="2" t="s">
        <v>26</v>
      </c>
      <c r="M90" s="2"/>
      <c r="N90" s="2"/>
      <c r="O90" s="2" t="s">
        <v>538</v>
      </c>
    </row>
    <row r="91" spans="1:15" ht="96" customHeight="1">
      <c r="A91" s="2">
        <v>90</v>
      </c>
      <c r="B91" s="2" t="s">
        <v>620</v>
      </c>
      <c r="C91" s="2"/>
      <c r="D91" s="2" t="s">
        <v>532</v>
      </c>
      <c r="E91" s="2" t="s">
        <v>29</v>
      </c>
      <c r="F91" s="2" t="s">
        <v>621</v>
      </c>
      <c r="G91" s="2" t="s">
        <v>622</v>
      </c>
      <c r="H91" s="2" t="s">
        <v>623</v>
      </c>
      <c r="I91" s="2" t="s">
        <v>624</v>
      </c>
      <c r="J91" s="2" t="s">
        <v>625</v>
      </c>
      <c r="K91" s="2" t="s">
        <v>29</v>
      </c>
      <c r="L91" s="2" t="s">
        <v>26</v>
      </c>
      <c r="M91" s="2"/>
      <c r="N91" s="2"/>
      <c r="O91" s="2" t="s">
        <v>538</v>
      </c>
    </row>
    <row r="92" spans="1:15" ht="96" customHeight="1">
      <c r="A92" s="2">
        <v>91</v>
      </c>
      <c r="B92" s="2" t="s">
        <v>626</v>
      </c>
      <c r="C92" s="2" t="s">
        <v>627</v>
      </c>
      <c r="D92" s="2" t="s">
        <v>532</v>
      </c>
      <c r="E92" s="2" t="s">
        <v>29</v>
      </c>
      <c r="F92" s="2" t="s">
        <v>628</v>
      </c>
      <c r="G92" s="2" t="s">
        <v>629</v>
      </c>
      <c r="H92" s="2" t="s">
        <v>630</v>
      </c>
      <c r="I92" s="2" t="s">
        <v>631</v>
      </c>
      <c r="J92" s="2" t="s">
        <v>632</v>
      </c>
      <c r="K92" s="2" t="s">
        <v>27</v>
      </c>
      <c r="L92" s="2" t="s">
        <v>26</v>
      </c>
      <c r="M92" s="2"/>
      <c r="N92" s="2"/>
      <c r="O92" s="2" t="s">
        <v>538</v>
      </c>
    </row>
    <row r="93" spans="1:15" ht="96" customHeight="1">
      <c r="A93" s="2">
        <v>92</v>
      </c>
      <c r="B93" s="2" t="s">
        <v>633</v>
      </c>
      <c r="C93" s="2"/>
      <c r="D93" s="2" t="s">
        <v>634</v>
      </c>
      <c r="E93" s="2" t="s">
        <v>74</v>
      </c>
      <c r="F93" s="2" t="s">
        <v>635</v>
      </c>
      <c r="G93" s="2" t="s">
        <v>636</v>
      </c>
      <c r="H93" s="2" t="s">
        <v>637</v>
      </c>
      <c r="I93" s="2" t="s">
        <v>638</v>
      </c>
      <c r="J93" s="2" t="s">
        <v>639</v>
      </c>
      <c r="K93" s="2" t="s">
        <v>27</v>
      </c>
      <c r="L93" s="2" t="s">
        <v>26</v>
      </c>
      <c r="M93" s="2"/>
      <c r="N93" s="2"/>
      <c r="O93" s="2" t="s">
        <v>640</v>
      </c>
    </row>
    <row r="94" spans="1:15" ht="96" customHeight="1">
      <c r="A94" s="2">
        <v>93</v>
      </c>
      <c r="B94" s="2" t="s">
        <v>641</v>
      </c>
      <c r="C94" s="2"/>
      <c r="D94" s="2" t="s">
        <v>634</v>
      </c>
      <c r="E94" s="2" t="s">
        <v>74</v>
      </c>
      <c r="F94" s="2" t="s">
        <v>642</v>
      </c>
      <c r="G94" s="2" t="s">
        <v>643</v>
      </c>
      <c r="H94" s="2" t="s">
        <v>644</v>
      </c>
      <c r="I94" s="2" t="s">
        <v>645</v>
      </c>
      <c r="J94" s="2" t="s">
        <v>646</v>
      </c>
      <c r="K94" s="2" t="s">
        <v>27</v>
      </c>
      <c r="L94" s="2" t="s">
        <v>26</v>
      </c>
      <c r="M94" s="2"/>
      <c r="N94" s="2"/>
      <c r="O94" s="2" t="s">
        <v>640</v>
      </c>
    </row>
    <row r="95" spans="1:15" ht="96" customHeight="1">
      <c r="A95" s="2">
        <v>94</v>
      </c>
      <c r="B95" s="2" t="s">
        <v>647</v>
      </c>
      <c r="C95" s="2"/>
      <c r="D95" s="2" t="s">
        <v>634</v>
      </c>
      <c r="E95" s="2" t="s">
        <v>29</v>
      </c>
      <c r="F95" s="2" t="s">
        <v>648</v>
      </c>
      <c r="G95" s="2" t="s">
        <v>649</v>
      </c>
      <c r="H95" s="2" t="s">
        <v>650</v>
      </c>
      <c r="I95" s="2" t="s">
        <v>651</v>
      </c>
      <c r="J95" s="2" t="s">
        <v>652</v>
      </c>
      <c r="K95" s="2" t="s">
        <v>29</v>
      </c>
      <c r="L95" s="2" t="s">
        <v>26</v>
      </c>
      <c r="M95" s="2"/>
      <c r="N95" s="2"/>
      <c r="O95" s="2" t="s">
        <v>640</v>
      </c>
    </row>
    <row r="96" spans="1:15" ht="96" customHeight="1">
      <c r="A96" s="2">
        <v>95</v>
      </c>
      <c r="B96" s="2" t="s">
        <v>653</v>
      </c>
      <c r="C96" s="2"/>
      <c r="D96" s="2" t="s">
        <v>634</v>
      </c>
      <c r="E96" s="2" t="s">
        <v>29</v>
      </c>
      <c r="F96" s="2" t="s">
        <v>654</v>
      </c>
      <c r="G96" s="2" t="s">
        <v>655</v>
      </c>
      <c r="H96" s="2" t="s">
        <v>656</v>
      </c>
      <c r="I96" s="2" t="s">
        <v>657</v>
      </c>
      <c r="J96" s="2" t="s">
        <v>658</v>
      </c>
      <c r="K96" s="2" t="s">
        <v>27</v>
      </c>
      <c r="L96" s="2" t="s">
        <v>26</v>
      </c>
      <c r="M96" s="2"/>
      <c r="N96" s="2"/>
      <c r="O96" s="2" t="s">
        <v>640</v>
      </c>
    </row>
    <row r="97" spans="1:15" ht="96" customHeight="1">
      <c r="A97" s="2">
        <v>96</v>
      </c>
      <c r="B97" s="2" t="s">
        <v>659</v>
      </c>
      <c r="C97" s="2"/>
      <c r="D97" s="2" t="s">
        <v>634</v>
      </c>
      <c r="E97" s="2" t="s">
        <v>29</v>
      </c>
      <c r="F97" s="2" t="s">
        <v>660</v>
      </c>
      <c r="G97" s="2" t="s">
        <v>661</v>
      </c>
      <c r="H97" s="2" t="s">
        <v>662</v>
      </c>
      <c r="I97" s="2" t="s">
        <v>663</v>
      </c>
      <c r="J97" s="2" t="s">
        <v>664</v>
      </c>
      <c r="K97" s="2" t="s">
        <v>29</v>
      </c>
      <c r="L97" s="2" t="s">
        <v>26</v>
      </c>
      <c r="M97" s="2"/>
      <c r="N97" s="2"/>
      <c r="O97" s="2" t="s">
        <v>640</v>
      </c>
    </row>
    <row r="98" spans="1:15" ht="96" customHeight="1">
      <c r="A98" s="2">
        <v>97</v>
      </c>
      <c r="B98" s="2" t="s">
        <v>665</v>
      </c>
      <c r="C98" s="2" t="s">
        <v>666</v>
      </c>
      <c r="D98" s="2" t="s">
        <v>634</v>
      </c>
      <c r="E98" s="2" t="s">
        <v>29</v>
      </c>
      <c r="F98" s="2" t="s">
        <v>667</v>
      </c>
      <c r="G98" s="2" t="s">
        <v>668</v>
      </c>
      <c r="H98" s="2" t="s">
        <v>669</v>
      </c>
      <c r="I98" s="2" t="s">
        <v>670</v>
      </c>
      <c r="J98" s="2" t="s">
        <v>671</v>
      </c>
      <c r="K98" s="2" t="s">
        <v>27</v>
      </c>
      <c r="L98" s="2" t="s">
        <v>26</v>
      </c>
      <c r="M98" s="2"/>
      <c r="N98" s="2"/>
      <c r="O98" s="2" t="s">
        <v>640</v>
      </c>
    </row>
    <row r="99" spans="1:15" ht="96" customHeight="1">
      <c r="A99" s="2">
        <v>98</v>
      </c>
      <c r="B99" s="2" t="s">
        <v>672</v>
      </c>
      <c r="C99" s="2"/>
      <c r="D99" s="2" t="s">
        <v>634</v>
      </c>
      <c r="E99" s="2" t="s">
        <v>29</v>
      </c>
      <c r="F99" s="2" t="s">
        <v>673</v>
      </c>
      <c r="G99" s="2" t="s">
        <v>674</v>
      </c>
      <c r="H99" s="2" t="s">
        <v>675</v>
      </c>
      <c r="I99" s="2" t="s">
        <v>676</v>
      </c>
      <c r="J99" s="2" t="s">
        <v>677</v>
      </c>
      <c r="K99" s="2" t="s">
        <v>27</v>
      </c>
      <c r="L99" s="2" t="s">
        <v>26</v>
      </c>
      <c r="M99" s="2"/>
      <c r="N99" s="2"/>
      <c r="O99" s="2" t="s">
        <v>640</v>
      </c>
    </row>
    <row r="100" spans="1:15" ht="96" customHeight="1">
      <c r="A100" s="2">
        <v>99</v>
      </c>
      <c r="B100" s="2" t="s">
        <v>678</v>
      </c>
      <c r="C100" s="2"/>
      <c r="D100" s="2" t="s">
        <v>634</v>
      </c>
      <c r="E100" s="2" t="s">
        <v>311</v>
      </c>
      <c r="F100" s="2" t="s">
        <v>679</v>
      </c>
      <c r="G100" s="2" t="s">
        <v>680</v>
      </c>
      <c r="H100" s="2" t="s">
        <v>681</v>
      </c>
      <c r="I100" s="2" t="s">
        <v>682</v>
      </c>
      <c r="J100" s="2" t="s">
        <v>683</v>
      </c>
      <c r="K100" s="2" t="s">
        <v>29</v>
      </c>
      <c r="L100" s="2" t="s">
        <v>26</v>
      </c>
      <c r="M100" s="2"/>
      <c r="N100" s="2"/>
      <c r="O100" s="2" t="s">
        <v>640</v>
      </c>
    </row>
    <row r="101" spans="1:15" ht="96" customHeight="1">
      <c r="A101" s="2">
        <v>100</v>
      </c>
      <c r="B101" s="2" t="s">
        <v>684</v>
      </c>
      <c r="C101" s="2"/>
      <c r="D101" s="2" t="s">
        <v>634</v>
      </c>
      <c r="E101" s="2" t="s">
        <v>29</v>
      </c>
      <c r="F101" s="2" t="s">
        <v>685</v>
      </c>
      <c r="G101" s="2" t="s">
        <v>686</v>
      </c>
      <c r="H101" s="2" t="s">
        <v>687</v>
      </c>
      <c r="I101" s="2" t="s">
        <v>688</v>
      </c>
      <c r="J101" s="2" t="s">
        <v>689</v>
      </c>
      <c r="K101" s="2" t="s">
        <v>29</v>
      </c>
      <c r="L101" s="2" t="s">
        <v>26</v>
      </c>
      <c r="M101" s="2"/>
      <c r="N101" s="2"/>
      <c r="O101" s="2" t="s">
        <v>640</v>
      </c>
    </row>
    <row r="102" spans="1:15" ht="96" customHeight="1">
      <c r="A102" s="2">
        <v>101</v>
      </c>
      <c r="B102" s="2" t="s">
        <v>690</v>
      </c>
      <c r="C102" s="2" t="s">
        <v>691</v>
      </c>
      <c r="D102" s="2" t="s">
        <v>634</v>
      </c>
      <c r="E102" s="2" t="s">
        <v>29</v>
      </c>
      <c r="F102" s="2" t="s">
        <v>692</v>
      </c>
      <c r="G102" s="2" t="s">
        <v>693</v>
      </c>
      <c r="H102" s="2" t="s">
        <v>694</v>
      </c>
      <c r="I102" s="2" t="s">
        <v>695</v>
      </c>
      <c r="J102" s="2" t="s">
        <v>696</v>
      </c>
      <c r="K102" s="2" t="s">
        <v>27</v>
      </c>
      <c r="L102" s="2" t="s">
        <v>26</v>
      </c>
      <c r="M102" s="2"/>
      <c r="N102" s="2"/>
      <c r="O102" s="2" t="s">
        <v>640</v>
      </c>
    </row>
    <row r="103" spans="1:15" ht="96" customHeight="1">
      <c r="A103" s="2">
        <v>102</v>
      </c>
      <c r="B103" s="2" t="s">
        <v>697</v>
      </c>
      <c r="C103" s="2"/>
      <c r="D103" s="2" t="s">
        <v>634</v>
      </c>
      <c r="E103" s="2" t="s">
        <v>29</v>
      </c>
      <c r="F103" s="2" t="s">
        <v>698</v>
      </c>
      <c r="G103" s="2" t="s">
        <v>699</v>
      </c>
      <c r="H103" s="2" t="s">
        <v>700</v>
      </c>
      <c r="I103" s="2" t="s">
        <v>701</v>
      </c>
      <c r="J103" s="2" t="s">
        <v>702</v>
      </c>
      <c r="K103" s="2" t="s">
        <v>27</v>
      </c>
      <c r="L103" s="2" t="s">
        <v>26</v>
      </c>
      <c r="M103" s="2"/>
      <c r="N103" s="2"/>
      <c r="O103" s="2" t="s">
        <v>640</v>
      </c>
    </row>
    <row r="104" spans="1:15" ht="96" customHeight="1">
      <c r="A104" s="2">
        <v>103</v>
      </c>
      <c r="B104" s="2" t="s">
        <v>703</v>
      </c>
      <c r="C104" s="2" t="s">
        <v>704</v>
      </c>
      <c r="D104" s="2" t="s">
        <v>634</v>
      </c>
      <c r="E104" s="2" t="s">
        <v>311</v>
      </c>
      <c r="F104" s="2" t="s">
        <v>705</v>
      </c>
      <c r="G104" s="2" t="s">
        <v>706</v>
      </c>
      <c r="H104" s="2" t="s">
        <v>707</v>
      </c>
      <c r="I104" s="2" t="s">
        <v>708</v>
      </c>
      <c r="J104" s="2" t="s">
        <v>709</v>
      </c>
      <c r="K104" s="2" t="s">
        <v>29</v>
      </c>
      <c r="L104" s="2" t="s">
        <v>26</v>
      </c>
      <c r="M104" s="2"/>
      <c r="N104" s="2"/>
      <c r="O104" s="2" t="s">
        <v>640</v>
      </c>
    </row>
    <row r="105" spans="1:15" ht="96" customHeight="1">
      <c r="A105" s="2">
        <v>104</v>
      </c>
      <c r="B105" s="2" t="s">
        <v>710</v>
      </c>
      <c r="C105" s="2"/>
      <c r="D105" s="2" t="s">
        <v>634</v>
      </c>
      <c r="E105" s="2" t="s">
        <v>29</v>
      </c>
      <c r="F105" s="2" t="s">
        <v>711</v>
      </c>
      <c r="G105" s="2" t="s">
        <v>712</v>
      </c>
      <c r="H105" s="2" t="s">
        <v>713</v>
      </c>
      <c r="I105" s="2" t="s">
        <v>714</v>
      </c>
      <c r="J105" s="2" t="s">
        <v>715</v>
      </c>
      <c r="K105" s="2" t="s">
        <v>27</v>
      </c>
      <c r="L105" s="2" t="s">
        <v>26</v>
      </c>
      <c r="M105" s="2"/>
      <c r="N105" s="2"/>
      <c r="O105" s="2" t="s">
        <v>640</v>
      </c>
    </row>
    <row r="106" spans="1:15" ht="96" customHeight="1">
      <c r="A106" s="2">
        <v>105</v>
      </c>
      <c r="B106" s="2" t="s">
        <v>716</v>
      </c>
      <c r="C106" s="2"/>
      <c r="D106" s="2" t="s">
        <v>634</v>
      </c>
      <c r="E106" s="2" t="s">
        <v>74</v>
      </c>
      <c r="F106" s="2" t="s">
        <v>717</v>
      </c>
      <c r="G106" s="2" t="s">
        <v>718</v>
      </c>
      <c r="H106" s="2" t="s">
        <v>719</v>
      </c>
      <c r="I106" s="2" t="s">
        <v>720</v>
      </c>
      <c r="J106" s="2" t="s">
        <v>721</v>
      </c>
      <c r="K106" s="2" t="s">
        <v>27</v>
      </c>
      <c r="L106" s="2" t="s">
        <v>26</v>
      </c>
      <c r="M106" s="2"/>
      <c r="N106" s="2"/>
      <c r="O106" s="2" t="s">
        <v>640</v>
      </c>
    </row>
    <row r="107" spans="1:15" ht="96" customHeight="1">
      <c r="A107" s="2">
        <v>106</v>
      </c>
      <c r="B107" s="2" t="s">
        <v>722</v>
      </c>
      <c r="C107" s="2"/>
      <c r="D107" s="2" t="s">
        <v>634</v>
      </c>
      <c r="E107" s="2" t="s">
        <v>74</v>
      </c>
      <c r="F107" s="2" t="s">
        <v>723</v>
      </c>
      <c r="G107" s="2" t="s">
        <v>724</v>
      </c>
      <c r="H107" s="2" t="s">
        <v>725</v>
      </c>
      <c r="I107" s="2" t="s">
        <v>726</v>
      </c>
      <c r="J107" s="2" t="s">
        <v>727</v>
      </c>
      <c r="K107" s="2" t="s">
        <v>27</v>
      </c>
      <c r="L107" s="2" t="s">
        <v>26</v>
      </c>
      <c r="M107" s="2"/>
      <c r="N107" s="2"/>
      <c r="O107" s="2" t="s">
        <v>640</v>
      </c>
    </row>
    <row r="108" spans="1:15" ht="96" customHeight="1">
      <c r="A108" s="2">
        <v>107</v>
      </c>
      <c r="B108" s="2" t="s">
        <v>728</v>
      </c>
      <c r="C108" s="2"/>
      <c r="D108" s="2" t="s">
        <v>634</v>
      </c>
      <c r="E108" s="2" t="s">
        <v>311</v>
      </c>
      <c r="F108" s="2" t="s">
        <v>729</v>
      </c>
      <c r="G108" s="2" t="s">
        <v>730</v>
      </c>
      <c r="H108" s="2" t="s">
        <v>731</v>
      </c>
      <c r="I108" s="2" t="s">
        <v>732</v>
      </c>
      <c r="J108" s="2" t="s">
        <v>733</v>
      </c>
      <c r="K108" s="2" t="s">
        <v>29</v>
      </c>
      <c r="L108" s="2" t="s">
        <v>26</v>
      </c>
      <c r="M108" s="2"/>
      <c r="N108" s="2"/>
      <c r="O108" s="2" t="s">
        <v>640</v>
      </c>
    </row>
    <row r="109" spans="1:15" ht="96" customHeight="1">
      <c r="A109" s="2">
        <v>108</v>
      </c>
      <c r="B109" s="2" t="s">
        <v>734</v>
      </c>
      <c r="C109" s="2"/>
      <c r="D109" s="2" t="s">
        <v>735</v>
      </c>
      <c r="E109" s="2" t="s">
        <v>74</v>
      </c>
      <c r="F109" s="2" t="s">
        <v>736</v>
      </c>
      <c r="G109" s="2" t="s">
        <v>737</v>
      </c>
      <c r="H109" s="2" t="s">
        <v>738</v>
      </c>
      <c r="I109" s="2" t="s">
        <v>739</v>
      </c>
      <c r="J109" s="2" t="s">
        <v>740</v>
      </c>
      <c r="K109" s="2" t="s">
        <v>27</v>
      </c>
      <c r="L109" s="2" t="s">
        <v>26</v>
      </c>
      <c r="M109" s="2"/>
      <c r="N109" s="2"/>
      <c r="O109" s="2" t="s">
        <v>741</v>
      </c>
    </row>
    <row r="110" spans="1:15" ht="96" customHeight="1">
      <c r="A110" s="2">
        <v>109</v>
      </c>
      <c r="B110" s="2" t="s">
        <v>52</v>
      </c>
      <c r="C110" s="2"/>
      <c r="D110" s="2" t="s">
        <v>735</v>
      </c>
      <c r="E110" s="2" t="s">
        <v>74</v>
      </c>
      <c r="F110" s="2" t="s">
        <v>742</v>
      </c>
      <c r="G110" s="2" t="s">
        <v>743</v>
      </c>
      <c r="H110" s="2" t="s">
        <v>744</v>
      </c>
      <c r="I110" s="2" t="s">
        <v>745</v>
      </c>
      <c r="J110" s="2" t="s">
        <v>746</v>
      </c>
      <c r="K110" s="2" t="s">
        <v>27</v>
      </c>
      <c r="L110" s="2" t="s">
        <v>26</v>
      </c>
      <c r="M110" s="2"/>
      <c r="N110" s="2"/>
      <c r="O110" s="2" t="s">
        <v>741</v>
      </c>
    </row>
    <row r="111" spans="1:15" ht="96" customHeight="1">
      <c r="A111" s="2">
        <v>110</v>
      </c>
      <c r="B111" s="2" t="s">
        <v>747</v>
      </c>
      <c r="C111" s="2"/>
      <c r="D111" s="2" t="s">
        <v>735</v>
      </c>
      <c r="E111" s="2" t="s">
        <v>29</v>
      </c>
      <c r="F111" s="2" t="s">
        <v>748</v>
      </c>
      <c r="G111" s="2" t="s">
        <v>749</v>
      </c>
      <c r="H111" s="2" t="s">
        <v>750</v>
      </c>
      <c r="I111" s="2" t="s">
        <v>751</v>
      </c>
      <c r="J111" s="2" t="s">
        <v>752</v>
      </c>
      <c r="K111" s="2" t="s">
        <v>29</v>
      </c>
      <c r="L111" s="2" t="s">
        <v>26</v>
      </c>
      <c r="M111" s="2"/>
      <c r="N111" s="2"/>
      <c r="O111" s="2" t="s">
        <v>741</v>
      </c>
    </row>
    <row r="112" spans="1:15" ht="96" customHeight="1">
      <c r="A112" s="2">
        <v>111</v>
      </c>
      <c r="B112" s="2" t="s">
        <v>753</v>
      </c>
      <c r="C112" s="2"/>
      <c r="D112" s="2" t="s">
        <v>735</v>
      </c>
      <c r="E112" s="2" t="s">
        <v>29</v>
      </c>
      <c r="F112" s="2" t="s">
        <v>754</v>
      </c>
      <c r="G112" s="2" t="s">
        <v>755</v>
      </c>
      <c r="H112" s="2" t="s">
        <v>756</v>
      </c>
      <c r="I112" s="2" t="s">
        <v>757</v>
      </c>
      <c r="J112" s="2" t="s">
        <v>758</v>
      </c>
      <c r="K112" s="2" t="s">
        <v>29</v>
      </c>
      <c r="L112" s="2" t="s">
        <v>26</v>
      </c>
      <c r="M112" s="2"/>
      <c r="N112" s="2"/>
      <c r="O112" s="2" t="s">
        <v>741</v>
      </c>
    </row>
    <row r="113" spans="1:15" ht="96" customHeight="1">
      <c r="A113" s="2">
        <v>112</v>
      </c>
      <c r="B113" s="2" t="s">
        <v>759</v>
      </c>
      <c r="C113" s="2"/>
      <c r="D113" s="2" t="s">
        <v>735</v>
      </c>
      <c r="E113" s="2" t="s">
        <v>29</v>
      </c>
      <c r="F113" s="2" t="s">
        <v>760</v>
      </c>
      <c r="G113" s="2" t="s">
        <v>761</v>
      </c>
      <c r="H113" s="2" t="s">
        <v>762</v>
      </c>
      <c r="I113" s="2" t="s">
        <v>763</v>
      </c>
      <c r="J113" s="2" t="s">
        <v>764</v>
      </c>
      <c r="K113" s="2" t="s">
        <v>29</v>
      </c>
      <c r="L113" s="2" t="s">
        <v>26</v>
      </c>
      <c r="M113" s="2"/>
      <c r="N113" s="2"/>
      <c r="O113" s="2" t="s">
        <v>741</v>
      </c>
    </row>
    <row r="114" spans="1:15" ht="96" customHeight="1">
      <c r="A114" s="2">
        <v>113</v>
      </c>
      <c r="B114" s="2" t="s">
        <v>765</v>
      </c>
      <c r="C114" s="2"/>
      <c r="D114" s="2" t="s">
        <v>735</v>
      </c>
      <c r="E114" s="2" t="s">
        <v>29</v>
      </c>
      <c r="F114" s="2" t="s">
        <v>766</v>
      </c>
      <c r="G114" s="2" t="s">
        <v>767</v>
      </c>
      <c r="H114" s="2" t="s">
        <v>768</v>
      </c>
      <c r="I114" s="2" t="s">
        <v>769</v>
      </c>
      <c r="J114" s="2" t="s">
        <v>770</v>
      </c>
      <c r="K114" s="2" t="s">
        <v>29</v>
      </c>
      <c r="L114" s="2" t="s">
        <v>26</v>
      </c>
      <c r="M114" s="2"/>
      <c r="N114" s="2"/>
      <c r="O114" s="2" t="s">
        <v>741</v>
      </c>
    </row>
    <row r="115" spans="1:15" ht="96" customHeight="1">
      <c r="A115" s="2">
        <v>114</v>
      </c>
      <c r="B115" s="2" t="s">
        <v>771</v>
      </c>
      <c r="C115" s="2"/>
      <c r="D115" s="2" t="s">
        <v>735</v>
      </c>
      <c r="E115" s="2" t="s">
        <v>311</v>
      </c>
      <c r="F115" s="2" t="s">
        <v>772</v>
      </c>
      <c r="G115" s="2" t="s">
        <v>773</v>
      </c>
      <c r="H115" s="2" t="s">
        <v>774</v>
      </c>
      <c r="I115" s="2" t="s">
        <v>775</v>
      </c>
      <c r="J115" s="2" t="s">
        <v>776</v>
      </c>
      <c r="K115" s="2" t="s">
        <v>31</v>
      </c>
      <c r="L115" s="2" t="s">
        <v>26</v>
      </c>
      <c r="M115" s="2"/>
      <c r="N115" s="2"/>
      <c r="O115" s="2" t="s">
        <v>741</v>
      </c>
    </row>
    <row r="116" spans="1:15" ht="96" customHeight="1">
      <c r="A116" s="2">
        <v>115</v>
      </c>
      <c r="B116" s="2" t="s">
        <v>777</v>
      </c>
      <c r="C116" s="2"/>
      <c r="D116" s="2" t="s">
        <v>735</v>
      </c>
      <c r="E116" s="2" t="s">
        <v>29</v>
      </c>
      <c r="F116" s="2" t="s">
        <v>778</v>
      </c>
      <c r="G116" s="2" t="s">
        <v>779</v>
      </c>
      <c r="H116" s="2" t="s">
        <v>780</v>
      </c>
      <c r="I116" s="2" t="s">
        <v>781</v>
      </c>
      <c r="J116" s="2" t="s">
        <v>782</v>
      </c>
      <c r="K116" s="2" t="s">
        <v>27</v>
      </c>
      <c r="L116" s="2" t="s">
        <v>26</v>
      </c>
      <c r="M116" s="2"/>
      <c r="N116" s="2"/>
      <c r="O116" s="2" t="s">
        <v>741</v>
      </c>
    </row>
    <row r="117" spans="1:15" ht="96" customHeight="1">
      <c r="A117" s="2">
        <v>116</v>
      </c>
      <c r="B117" s="2" t="s">
        <v>783</v>
      </c>
      <c r="C117" s="2"/>
      <c r="D117" s="2" t="s">
        <v>735</v>
      </c>
      <c r="E117" s="2" t="s">
        <v>29</v>
      </c>
      <c r="F117" s="2" t="s">
        <v>784</v>
      </c>
      <c r="G117" s="2" t="s">
        <v>785</v>
      </c>
      <c r="H117" s="2" t="s">
        <v>786</v>
      </c>
      <c r="I117" s="2" t="s">
        <v>787</v>
      </c>
      <c r="J117" s="2" t="s">
        <v>788</v>
      </c>
      <c r="K117" s="2" t="s">
        <v>27</v>
      </c>
      <c r="L117" s="2" t="s">
        <v>26</v>
      </c>
      <c r="M117" s="2"/>
      <c r="N117" s="2"/>
      <c r="O117" s="2" t="s">
        <v>741</v>
      </c>
    </row>
    <row r="118" spans="1:15" ht="96" customHeight="1">
      <c r="A118" s="2">
        <v>117</v>
      </c>
      <c r="B118" s="2" t="s">
        <v>789</v>
      </c>
      <c r="C118" s="2"/>
      <c r="D118" s="2" t="s">
        <v>735</v>
      </c>
      <c r="E118" s="2" t="s">
        <v>311</v>
      </c>
      <c r="F118" s="2" t="s">
        <v>790</v>
      </c>
      <c r="G118" s="2" t="s">
        <v>791</v>
      </c>
      <c r="H118" s="2" t="s">
        <v>792</v>
      </c>
      <c r="I118" s="2" t="s">
        <v>793</v>
      </c>
      <c r="J118" s="2" t="s">
        <v>794</v>
      </c>
      <c r="K118" s="2" t="s">
        <v>29</v>
      </c>
      <c r="L118" s="2" t="s">
        <v>26</v>
      </c>
      <c r="M118" s="2"/>
      <c r="N118" s="2"/>
      <c r="O118" s="2" t="s">
        <v>741</v>
      </c>
    </row>
    <row r="119" spans="1:15" ht="96" customHeight="1">
      <c r="A119" s="2">
        <v>118</v>
      </c>
      <c r="B119" s="2" t="s">
        <v>795</v>
      </c>
      <c r="C119" s="2"/>
      <c r="D119" s="2" t="s">
        <v>735</v>
      </c>
      <c r="E119" s="2" t="s">
        <v>74</v>
      </c>
      <c r="F119" s="2" t="s">
        <v>796</v>
      </c>
      <c r="G119" s="2" t="s">
        <v>797</v>
      </c>
      <c r="H119" s="2" t="s">
        <v>798</v>
      </c>
      <c r="I119" s="2" t="s">
        <v>799</v>
      </c>
      <c r="J119" s="2" t="s">
        <v>800</v>
      </c>
      <c r="K119" s="2" t="s">
        <v>27</v>
      </c>
      <c r="L119" s="2" t="s">
        <v>26</v>
      </c>
      <c r="M119" s="2"/>
      <c r="N119" s="2"/>
      <c r="O119" s="2" t="s">
        <v>741</v>
      </c>
    </row>
    <row r="120" spans="1:15" ht="96" customHeight="1">
      <c r="A120" s="2">
        <v>119</v>
      </c>
      <c r="B120" s="2" t="s">
        <v>801</v>
      </c>
      <c r="C120" s="2"/>
      <c r="D120" s="2" t="s">
        <v>735</v>
      </c>
      <c r="E120" s="2" t="s">
        <v>29</v>
      </c>
      <c r="F120" s="2" t="s">
        <v>802</v>
      </c>
      <c r="G120" s="2" t="s">
        <v>803</v>
      </c>
      <c r="H120" s="2" t="s">
        <v>804</v>
      </c>
      <c r="I120" s="2" t="s">
        <v>805</v>
      </c>
      <c r="J120" s="2" t="s">
        <v>806</v>
      </c>
      <c r="K120" s="2" t="s">
        <v>29</v>
      </c>
      <c r="L120" s="2" t="s">
        <v>26</v>
      </c>
      <c r="M120" s="2"/>
      <c r="N120" s="2"/>
      <c r="O120" s="2" t="s">
        <v>741</v>
      </c>
    </row>
    <row r="121" spans="1:15" ht="96" customHeight="1">
      <c r="A121" s="2">
        <v>120</v>
      </c>
      <c r="B121" s="2" t="s">
        <v>807</v>
      </c>
      <c r="C121" s="2"/>
      <c r="D121" s="2" t="s">
        <v>735</v>
      </c>
      <c r="E121" s="2" t="s">
        <v>29</v>
      </c>
      <c r="F121" s="2" t="s">
        <v>808</v>
      </c>
      <c r="G121" s="2" t="s">
        <v>809</v>
      </c>
      <c r="H121" s="2" t="s">
        <v>810</v>
      </c>
      <c r="I121" s="2" t="s">
        <v>811</v>
      </c>
      <c r="J121" s="2" t="s">
        <v>812</v>
      </c>
      <c r="K121" s="2" t="s">
        <v>27</v>
      </c>
      <c r="L121" s="2" t="s">
        <v>26</v>
      </c>
      <c r="M121" s="2"/>
      <c r="N121" s="2"/>
      <c r="O121" s="2" t="s">
        <v>741</v>
      </c>
    </row>
    <row r="122" spans="1:15" ht="96" customHeight="1">
      <c r="A122" s="2">
        <v>121</v>
      </c>
      <c r="B122" s="2" t="s">
        <v>813</v>
      </c>
      <c r="C122" s="2"/>
      <c r="D122" s="2" t="s">
        <v>814</v>
      </c>
      <c r="E122" s="2" t="s">
        <v>74</v>
      </c>
      <c r="F122" s="2" t="s">
        <v>815</v>
      </c>
      <c r="G122" s="2" t="s">
        <v>816</v>
      </c>
      <c r="H122" s="2" t="s">
        <v>817</v>
      </c>
      <c r="I122" s="2" t="s">
        <v>818</v>
      </c>
      <c r="J122" s="2" t="s">
        <v>819</v>
      </c>
      <c r="K122" s="2" t="s">
        <v>27</v>
      </c>
      <c r="L122" s="2" t="s">
        <v>26</v>
      </c>
      <c r="M122" s="2"/>
      <c r="N122" s="2"/>
      <c r="O122" s="2" t="s">
        <v>741</v>
      </c>
    </row>
    <row r="123" spans="1:15" ht="96" customHeight="1">
      <c r="A123" s="2">
        <v>122</v>
      </c>
      <c r="B123" s="2" t="s">
        <v>820</v>
      </c>
      <c r="C123" s="2"/>
      <c r="D123" s="2" t="s">
        <v>814</v>
      </c>
      <c r="E123" s="2" t="s">
        <v>74</v>
      </c>
      <c r="F123" s="2" t="s">
        <v>821</v>
      </c>
      <c r="G123" s="2" t="s">
        <v>822</v>
      </c>
      <c r="H123" s="2" t="s">
        <v>823</v>
      </c>
      <c r="I123" s="2" t="s">
        <v>824</v>
      </c>
      <c r="J123" s="2" t="s">
        <v>825</v>
      </c>
      <c r="K123" s="2" t="s">
        <v>27</v>
      </c>
      <c r="L123" s="2" t="s">
        <v>26</v>
      </c>
      <c r="M123" s="2"/>
      <c r="N123" s="2"/>
      <c r="O123" s="2" t="s">
        <v>741</v>
      </c>
    </row>
    <row r="124" spans="1:15" ht="96" customHeight="1">
      <c r="A124" s="2">
        <v>123</v>
      </c>
      <c r="B124" s="2" t="s">
        <v>826</v>
      </c>
      <c r="C124" s="2"/>
      <c r="D124" s="2" t="s">
        <v>814</v>
      </c>
      <c r="E124" s="2" t="s">
        <v>74</v>
      </c>
      <c r="F124" s="2" t="s">
        <v>827</v>
      </c>
      <c r="G124" s="2" t="s">
        <v>828</v>
      </c>
      <c r="H124" s="2" t="s">
        <v>829</v>
      </c>
      <c r="I124" s="2" t="s">
        <v>830</v>
      </c>
      <c r="J124" s="2" t="s">
        <v>831</v>
      </c>
      <c r="K124" s="2" t="s">
        <v>27</v>
      </c>
      <c r="L124" s="2" t="s">
        <v>26</v>
      </c>
      <c r="M124" s="2"/>
      <c r="N124" s="2"/>
      <c r="O124" s="2" t="s">
        <v>741</v>
      </c>
    </row>
    <row r="125" spans="1:15" ht="96" customHeight="1">
      <c r="A125" s="2">
        <v>124</v>
      </c>
      <c r="B125" s="2" t="s">
        <v>48</v>
      </c>
      <c r="C125" s="2"/>
      <c r="D125" s="2" t="s">
        <v>814</v>
      </c>
      <c r="E125" s="2" t="s">
        <v>74</v>
      </c>
      <c r="F125" s="2" t="s">
        <v>832</v>
      </c>
      <c r="G125" s="2" t="s">
        <v>833</v>
      </c>
      <c r="H125" s="2" t="s">
        <v>834</v>
      </c>
      <c r="I125" s="2" t="s">
        <v>835</v>
      </c>
      <c r="J125" s="2" t="s">
        <v>836</v>
      </c>
      <c r="K125" s="2" t="s">
        <v>27</v>
      </c>
      <c r="L125" s="2" t="s">
        <v>26</v>
      </c>
      <c r="M125" s="2"/>
      <c r="N125" s="2"/>
      <c r="O125" s="2" t="s">
        <v>741</v>
      </c>
    </row>
    <row r="126" spans="1:15" ht="96" customHeight="1">
      <c r="A126" s="2">
        <v>125</v>
      </c>
      <c r="B126" s="2" t="s">
        <v>837</v>
      </c>
      <c r="C126" s="2"/>
      <c r="D126" s="2" t="s">
        <v>814</v>
      </c>
      <c r="E126" s="2" t="s">
        <v>74</v>
      </c>
      <c r="F126" s="2" t="s">
        <v>838</v>
      </c>
      <c r="G126" s="2" t="s">
        <v>839</v>
      </c>
      <c r="H126" s="2" t="s">
        <v>840</v>
      </c>
      <c r="I126" s="2" t="s">
        <v>841</v>
      </c>
      <c r="J126" s="2" t="s">
        <v>842</v>
      </c>
      <c r="K126" s="2" t="s">
        <v>27</v>
      </c>
      <c r="L126" s="2" t="s">
        <v>26</v>
      </c>
      <c r="M126" s="2"/>
      <c r="N126" s="2"/>
      <c r="O126" s="2" t="s">
        <v>741</v>
      </c>
    </row>
    <row r="127" spans="1:15" ht="96" customHeight="1">
      <c r="A127" s="2">
        <v>126</v>
      </c>
      <c r="B127" s="2" t="s">
        <v>843</v>
      </c>
      <c r="C127" s="2"/>
      <c r="D127" s="2" t="s">
        <v>814</v>
      </c>
      <c r="E127" s="2" t="s">
        <v>74</v>
      </c>
      <c r="F127" s="2" t="s">
        <v>844</v>
      </c>
      <c r="G127" s="2" t="s">
        <v>845</v>
      </c>
      <c r="H127" s="2" t="s">
        <v>846</v>
      </c>
      <c r="I127" s="2" t="s">
        <v>847</v>
      </c>
      <c r="J127" s="2" t="s">
        <v>848</v>
      </c>
      <c r="K127" s="2" t="s">
        <v>27</v>
      </c>
      <c r="L127" s="2" t="s">
        <v>26</v>
      </c>
      <c r="M127" s="2"/>
      <c r="N127" s="2"/>
      <c r="O127" s="2" t="s">
        <v>741</v>
      </c>
    </row>
    <row r="128" spans="1:15" ht="96" customHeight="1">
      <c r="A128" s="2">
        <v>127</v>
      </c>
      <c r="B128" s="2" t="s">
        <v>849</v>
      </c>
      <c r="C128" s="2"/>
      <c r="D128" s="2" t="s">
        <v>814</v>
      </c>
      <c r="E128" s="2" t="s">
        <v>74</v>
      </c>
      <c r="F128" s="2" t="s">
        <v>850</v>
      </c>
      <c r="G128" s="2" t="s">
        <v>851</v>
      </c>
      <c r="H128" s="2" t="s">
        <v>852</v>
      </c>
      <c r="I128" s="2" t="s">
        <v>853</v>
      </c>
      <c r="J128" s="2" t="s">
        <v>854</v>
      </c>
      <c r="K128" s="2" t="s">
        <v>27</v>
      </c>
      <c r="L128" s="2" t="s">
        <v>26</v>
      </c>
      <c r="M128" s="2"/>
      <c r="N128" s="2"/>
      <c r="O128" s="2" t="s">
        <v>741</v>
      </c>
    </row>
    <row r="129" spans="1:15" ht="96" customHeight="1">
      <c r="A129" s="2">
        <v>128</v>
      </c>
      <c r="B129" s="2" t="s">
        <v>47</v>
      </c>
      <c r="C129" s="2"/>
      <c r="D129" s="2" t="s">
        <v>814</v>
      </c>
      <c r="E129" s="2" t="s">
        <v>74</v>
      </c>
      <c r="F129" s="2" t="s">
        <v>855</v>
      </c>
      <c r="G129" s="2" t="s">
        <v>856</v>
      </c>
      <c r="H129" s="2" t="s">
        <v>857</v>
      </c>
      <c r="I129" s="2" t="s">
        <v>858</v>
      </c>
      <c r="J129" s="2" t="s">
        <v>859</v>
      </c>
      <c r="K129" s="2" t="s">
        <v>27</v>
      </c>
      <c r="L129" s="2" t="s">
        <v>26</v>
      </c>
      <c r="M129" s="2"/>
      <c r="N129" s="2"/>
      <c r="O129" s="2" t="s">
        <v>741</v>
      </c>
    </row>
    <row r="130" spans="1:15" ht="96" customHeight="1">
      <c r="A130" s="2">
        <v>129</v>
      </c>
      <c r="B130" s="2" t="s">
        <v>860</v>
      </c>
      <c r="C130" s="2"/>
      <c r="D130" s="2" t="s">
        <v>814</v>
      </c>
      <c r="E130" s="2" t="s">
        <v>29</v>
      </c>
      <c r="F130" s="2" t="s">
        <v>861</v>
      </c>
      <c r="G130" s="2" t="s">
        <v>862</v>
      </c>
      <c r="H130" s="2" t="s">
        <v>863</v>
      </c>
      <c r="I130" s="2" t="s">
        <v>864</v>
      </c>
      <c r="J130" s="2" t="s">
        <v>865</v>
      </c>
      <c r="K130" s="2" t="s">
        <v>27</v>
      </c>
      <c r="L130" s="2" t="s">
        <v>26</v>
      </c>
      <c r="M130" s="2"/>
      <c r="N130" s="2"/>
      <c r="O130" s="2" t="s">
        <v>741</v>
      </c>
    </row>
    <row r="131" spans="1:15" ht="96" customHeight="1">
      <c r="A131" s="2">
        <v>130</v>
      </c>
      <c r="B131" s="2" t="s">
        <v>866</v>
      </c>
      <c r="C131" s="2"/>
      <c r="D131" s="2" t="s">
        <v>814</v>
      </c>
      <c r="E131" s="2" t="s">
        <v>29</v>
      </c>
      <c r="F131" s="2" t="s">
        <v>867</v>
      </c>
      <c r="G131" s="2" t="s">
        <v>868</v>
      </c>
      <c r="H131" s="2" t="s">
        <v>869</v>
      </c>
      <c r="I131" s="2" t="s">
        <v>870</v>
      </c>
      <c r="J131" s="2" t="s">
        <v>871</v>
      </c>
      <c r="K131" s="2" t="s">
        <v>27</v>
      </c>
      <c r="L131" s="2" t="s">
        <v>26</v>
      </c>
      <c r="M131" s="2"/>
      <c r="N131" s="2"/>
      <c r="O131" s="2" t="s">
        <v>741</v>
      </c>
    </row>
    <row r="132" spans="1:15" ht="96" customHeight="1">
      <c r="A132" s="2">
        <v>131</v>
      </c>
      <c r="B132" s="2" t="s">
        <v>872</v>
      </c>
      <c r="C132" s="2" t="s">
        <v>59</v>
      </c>
      <c r="D132" s="2" t="s">
        <v>814</v>
      </c>
      <c r="E132" s="2" t="s">
        <v>74</v>
      </c>
      <c r="F132" s="2" t="s">
        <v>873</v>
      </c>
      <c r="G132" s="2" t="s">
        <v>874</v>
      </c>
      <c r="H132" s="2" t="s">
        <v>875</v>
      </c>
      <c r="I132" s="2" t="s">
        <v>876</v>
      </c>
      <c r="J132" s="2" t="s">
        <v>877</v>
      </c>
      <c r="K132" s="2" t="s">
        <v>27</v>
      </c>
      <c r="L132" s="2" t="s">
        <v>26</v>
      </c>
      <c r="M132" s="2"/>
      <c r="N132" s="2"/>
      <c r="O132" s="2" t="s">
        <v>741</v>
      </c>
    </row>
    <row r="133" spans="1:15" ht="96" customHeight="1">
      <c r="A133" s="2">
        <v>132</v>
      </c>
      <c r="B133" s="2" t="s">
        <v>878</v>
      </c>
      <c r="C133" s="2"/>
      <c r="D133" s="2" t="s">
        <v>814</v>
      </c>
      <c r="E133" s="2" t="s">
        <v>29</v>
      </c>
      <c r="F133" s="2" t="s">
        <v>879</v>
      </c>
      <c r="G133" s="2" t="s">
        <v>880</v>
      </c>
      <c r="H133" s="2" t="s">
        <v>881</v>
      </c>
      <c r="I133" s="2" t="s">
        <v>882</v>
      </c>
      <c r="J133" s="2" t="s">
        <v>883</v>
      </c>
      <c r="K133" s="2" t="s">
        <v>27</v>
      </c>
      <c r="L133" s="2" t="s">
        <v>26</v>
      </c>
      <c r="M133" s="2"/>
      <c r="N133" s="2"/>
      <c r="O133" s="2" t="s">
        <v>741</v>
      </c>
    </row>
    <row r="134" spans="1:15" ht="96" customHeight="1">
      <c r="A134" s="2">
        <v>133</v>
      </c>
      <c r="B134" s="2" t="s">
        <v>884</v>
      </c>
      <c r="C134" s="2"/>
      <c r="D134" s="2" t="s">
        <v>814</v>
      </c>
      <c r="E134" s="2" t="s">
        <v>29</v>
      </c>
      <c r="F134" s="2" t="s">
        <v>885</v>
      </c>
      <c r="G134" s="2" t="s">
        <v>886</v>
      </c>
      <c r="H134" s="2" t="s">
        <v>887</v>
      </c>
      <c r="I134" s="2" t="s">
        <v>888</v>
      </c>
      <c r="J134" s="2" t="s">
        <v>889</v>
      </c>
      <c r="K134" s="2" t="s">
        <v>29</v>
      </c>
      <c r="L134" s="2" t="s">
        <v>26</v>
      </c>
      <c r="M134" s="2"/>
      <c r="N134" s="2"/>
      <c r="O134" s="2" t="s">
        <v>741</v>
      </c>
    </row>
    <row r="135" spans="1:15" ht="96" customHeight="1">
      <c r="A135" s="2">
        <v>134</v>
      </c>
      <c r="B135" s="2" t="s">
        <v>890</v>
      </c>
      <c r="C135" s="2" t="s">
        <v>891</v>
      </c>
      <c r="D135" s="2" t="s">
        <v>814</v>
      </c>
      <c r="E135" s="2" t="s">
        <v>29</v>
      </c>
      <c r="F135" s="2" t="s">
        <v>892</v>
      </c>
      <c r="G135" s="2" t="s">
        <v>893</v>
      </c>
      <c r="H135" s="2" t="s">
        <v>894</v>
      </c>
      <c r="I135" s="2" t="s">
        <v>895</v>
      </c>
      <c r="J135" s="2" t="s">
        <v>896</v>
      </c>
      <c r="K135" s="2" t="s">
        <v>27</v>
      </c>
      <c r="L135" s="2" t="s">
        <v>26</v>
      </c>
      <c r="M135" s="2"/>
      <c r="N135" s="2"/>
      <c r="O135" s="2" t="s">
        <v>741</v>
      </c>
    </row>
    <row r="136" spans="1:15" ht="96" customHeight="1">
      <c r="A136" s="2">
        <v>135</v>
      </c>
      <c r="B136" s="2" t="s">
        <v>897</v>
      </c>
      <c r="C136" s="2" t="s">
        <v>898</v>
      </c>
      <c r="D136" s="2" t="s">
        <v>814</v>
      </c>
      <c r="E136" s="2" t="s">
        <v>74</v>
      </c>
      <c r="F136" s="2" t="s">
        <v>899</v>
      </c>
      <c r="G136" s="2" t="s">
        <v>900</v>
      </c>
      <c r="H136" s="2" t="s">
        <v>901</v>
      </c>
      <c r="I136" s="2" t="s">
        <v>902</v>
      </c>
      <c r="J136" s="2" t="s">
        <v>903</v>
      </c>
      <c r="K136" s="2" t="s">
        <v>27</v>
      </c>
      <c r="L136" s="2" t="s">
        <v>26</v>
      </c>
      <c r="M136" s="2"/>
      <c r="N136" s="2"/>
      <c r="O136" s="2" t="s">
        <v>741</v>
      </c>
    </row>
    <row r="137" spans="1:15" ht="96" customHeight="1">
      <c r="A137" s="2">
        <v>136</v>
      </c>
      <c r="B137" s="2" t="s">
        <v>904</v>
      </c>
      <c r="C137" s="2" t="s">
        <v>905</v>
      </c>
      <c r="D137" s="2" t="s">
        <v>814</v>
      </c>
      <c r="E137" s="2" t="s">
        <v>74</v>
      </c>
      <c r="F137" s="2" t="s">
        <v>906</v>
      </c>
      <c r="G137" s="2" t="s">
        <v>907</v>
      </c>
      <c r="H137" s="2" t="s">
        <v>908</v>
      </c>
      <c r="I137" s="2" t="s">
        <v>909</v>
      </c>
      <c r="J137" s="2" t="s">
        <v>910</v>
      </c>
      <c r="K137" s="2" t="s">
        <v>27</v>
      </c>
      <c r="L137" s="2" t="s">
        <v>26</v>
      </c>
      <c r="M137" s="2"/>
      <c r="N137" s="2"/>
      <c r="O137" s="2" t="s">
        <v>741</v>
      </c>
    </row>
    <row r="138" spans="1:15" ht="96" customHeight="1">
      <c r="A138" s="2">
        <v>137</v>
      </c>
      <c r="B138" s="2" t="s">
        <v>911</v>
      </c>
      <c r="C138" s="2"/>
      <c r="D138" s="2" t="s">
        <v>814</v>
      </c>
      <c r="E138" s="2" t="s">
        <v>29</v>
      </c>
      <c r="F138" s="2" t="s">
        <v>912</v>
      </c>
      <c r="G138" s="2" t="s">
        <v>913</v>
      </c>
      <c r="H138" s="2" t="s">
        <v>914</v>
      </c>
      <c r="I138" s="2" t="s">
        <v>915</v>
      </c>
      <c r="J138" s="2" t="s">
        <v>916</v>
      </c>
      <c r="K138" s="2" t="s">
        <v>27</v>
      </c>
      <c r="L138" s="2" t="s">
        <v>26</v>
      </c>
      <c r="M138" s="2"/>
      <c r="N138" s="2"/>
      <c r="O138" s="2" t="s">
        <v>741</v>
      </c>
    </row>
    <row r="139" spans="1:15" ht="96" customHeight="1">
      <c r="A139" s="2">
        <v>138</v>
      </c>
      <c r="B139" s="2" t="s">
        <v>917</v>
      </c>
      <c r="C139" s="2"/>
      <c r="D139" s="2" t="s">
        <v>814</v>
      </c>
      <c r="E139" s="2" t="s">
        <v>29</v>
      </c>
      <c r="F139" s="2" t="s">
        <v>918</v>
      </c>
      <c r="G139" s="2" t="s">
        <v>919</v>
      </c>
      <c r="H139" s="2" t="s">
        <v>920</v>
      </c>
      <c r="I139" s="2" t="s">
        <v>921</v>
      </c>
      <c r="J139" s="2" t="s">
        <v>922</v>
      </c>
      <c r="K139" s="2" t="s">
        <v>27</v>
      </c>
      <c r="L139" s="2" t="s">
        <v>26</v>
      </c>
      <c r="M139" s="2"/>
      <c r="N139" s="2"/>
      <c r="O139" s="2" t="s">
        <v>741</v>
      </c>
    </row>
    <row r="140" spans="1:15" ht="96" customHeight="1">
      <c r="A140" s="2">
        <v>139</v>
      </c>
      <c r="B140" s="2" t="s">
        <v>50</v>
      </c>
      <c r="C140" s="2"/>
      <c r="D140" s="2" t="s">
        <v>814</v>
      </c>
      <c r="E140" s="2" t="s">
        <v>74</v>
      </c>
      <c r="F140" s="2" t="s">
        <v>923</v>
      </c>
      <c r="G140" s="2" t="s">
        <v>924</v>
      </c>
      <c r="H140" s="2" t="s">
        <v>925</v>
      </c>
      <c r="I140" s="2" t="s">
        <v>926</v>
      </c>
      <c r="J140" s="2" t="s">
        <v>927</v>
      </c>
      <c r="K140" s="2" t="s">
        <v>27</v>
      </c>
      <c r="L140" s="2" t="s">
        <v>26</v>
      </c>
      <c r="M140" s="2"/>
      <c r="N140" s="2"/>
      <c r="O140" s="2" t="s">
        <v>741</v>
      </c>
    </row>
    <row r="141" spans="1:15" ht="96" customHeight="1">
      <c r="A141" s="2">
        <v>140</v>
      </c>
      <c r="B141" s="2" t="s">
        <v>928</v>
      </c>
      <c r="C141" s="2"/>
      <c r="D141" s="2" t="s">
        <v>814</v>
      </c>
      <c r="E141" s="2" t="s">
        <v>29</v>
      </c>
      <c r="F141" s="2" t="s">
        <v>929</v>
      </c>
      <c r="G141" s="2" t="s">
        <v>930</v>
      </c>
      <c r="H141" s="2" t="s">
        <v>931</v>
      </c>
      <c r="I141" s="2" t="s">
        <v>932</v>
      </c>
      <c r="J141" s="2" t="s">
        <v>933</v>
      </c>
      <c r="K141" s="2" t="s">
        <v>29</v>
      </c>
      <c r="L141" s="2" t="s">
        <v>26</v>
      </c>
      <c r="M141" s="2"/>
      <c r="N141" s="2"/>
      <c r="O141" s="2" t="s">
        <v>741</v>
      </c>
    </row>
    <row r="142" spans="1:15" ht="96" customHeight="1">
      <c r="A142" s="2">
        <v>141</v>
      </c>
      <c r="B142" s="2" t="s">
        <v>49</v>
      </c>
      <c r="C142" s="2"/>
      <c r="D142" s="2" t="s">
        <v>814</v>
      </c>
      <c r="E142" s="2" t="s">
        <v>29</v>
      </c>
      <c r="F142" s="2" t="s">
        <v>934</v>
      </c>
      <c r="G142" s="2" t="s">
        <v>935</v>
      </c>
      <c r="H142" s="2" t="s">
        <v>936</v>
      </c>
      <c r="I142" s="2" t="s">
        <v>937</v>
      </c>
      <c r="J142" s="2" t="s">
        <v>938</v>
      </c>
      <c r="K142" s="2" t="s">
        <v>27</v>
      </c>
      <c r="L142" s="2" t="s">
        <v>26</v>
      </c>
      <c r="M142" s="2"/>
      <c r="N142" s="2"/>
      <c r="O142" s="2" t="s">
        <v>741</v>
      </c>
    </row>
    <row r="143" spans="1:15" ht="96" customHeight="1">
      <c r="A143" s="2">
        <v>142</v>
      </c>
      <c r="B143" s="2" t="s">
        <v>939</v>
      </c>
      <c r="C143" s="2"/>
      <c r="D143" s="2" t="s">
        <v>814</v>
      </c>
      <c r="E143" s="2" t="s">
        <v>29</v>
      </c>
      <c r="F143" s="2" t="s">
        <v>940</v>
      </c>
      <c r="G143" s="2" t="s">
        <v>941</v>
      </c>
      <c r="H143" s="2" t="s">
        <v>942</v>
      </c>
      <c r="I143" s="2" t="s">
        <v>943</v>
      </c>
      <c r="J143" s="2" t="s">
        <v>944</v>
      </c>
      <c r="K143" s="2" t="s">
        <v>27</v>
      </c>
      <c r="L143" s="2" t="s">
        <v>26</v>
      </c>
      <c r="M143" s="2"/>
      <c r="N143" s="2"/>
      <c r="O143" s="2" t="s">
        <v>741</v>
      </c>
    </row>
    <row r="144" spans="1:15" ht="96" customHeight="1">
      <c r="A144" s="2">
        <v>143</v>
      </c>
      <c r="B144" s="2" t="s">
        <v>945</v>
      </c>
      <c r="C144" s="2"/>
      <c r="D144" s="2" t="s">
        <v>814</v>
      </c>
      <c r="E144" s="2" t="s">
        <v>74</v>
      </c>
      <c r="F144" s="2" t="s">
        <v>946</v>
      </c>
      <c r="G144" s="2" t="s">
        <v>947</v>
      </c>
      <c r="H144" s="2" t="s">
        <v>948</v>
      </c>
      <c r="I144" s="2" t="s">
        <v>949</v>
      </c>
      <c r="J144" s="2" t="s">
        <v>950</v>
      </c>
      <c r="K144" s="2" t="s">
        <v>27</v>
      </c>
      <c r="L144" s="2" t="s">
        <v>26</v>
      </c>
      <c r="M144" s="2"/>
      <c r="N144" s="2"/>
      <c r="O144" s="2" t="s">
        <v>741</v>
      </c>
    </row>
    <row r="145" spans="1:15" ht="96" customHeight="1">
      <c r="A145" s="2">
        <v>144</v>
      </c>
      <c r="B145" s="2" t="s">
        <v>951</v>
      </c>
      <c r="C145" s="2"/>
      <c r="D145" s="2" t="s">
        <v>814</v>
      </c>
      <c r="E145" s="2" t="s">
        <v>29</v>
      </c>
      <c r="F145" s="2" t="s">
        <v>952</v>
      </c>
      <c r="G145" s="2" t="s">
        <v>953</v>
      </c>
      <c r="H145" s="2" t="s">
        <v>954</v>
      </c>
      <c r="I145" s="2" t="s">
        <v>955</v>
      </c>
      <c r="J145" s="2" t="s">
        <v>956</v>
      </c>
      <c r="K145" s="2" t="s">
        <v>29</v>
      </c>
      <c r="L145" s="2" t="s">
        <v>26</v>
      </c>
      <c r="M145" s="2"/>
      <c r="N145" s="2"/>
      <c r="O145" s="2" t="s">
        <v>741</v>
      </c>
    </row>
    <row r="146" spans="1:15" ht="96" customHeight="1">
      <c r="A146" s="2">
        <v>145</v>
      </c>
      <c r="B146" s="2" t="s">
        <v>957</v>
      </c>
      <c r="C146" s="2" t="s">
        <v>958</v>
      </c>
      <c r="D146" s="2" t="s">
        <v>814</v>
      </c>
      <c r="E146" s="2" t="s">
        <v>29</v>
      </c>
      <c r="F146" s="2" t="s">
        <v>959</v>
      </c>
      <c r="G146" s="2" t="s">
        <v>960</v>
      </c>
      <c r="H146" s="2" t="s">
        <v>961</v>
      </c>
      <c r="I146" s="2" t="s">
        <v>962</v>
      </c>
      <c r="J146" s="2" t="s">
        <v>963</v>
      </c>
      <c r="K146" s="2" t="s">
        <v>27</v>
      </c>
      <c r="L146" s="2" t="s">
        <v>26</v>
      </c>
      <c r="M146" s="2"/>
      <c r="N146" s="2"/>
      <c r="O146" s="2" t="s">
        <v>741</v>
      </c>
    </row>
    <row r="147" spans="1:15" ht="96" customHeight="1">
      <c r="A147" s="2">
        <v>146</v>
      </c>
      <c r="B147" s="2" t="s">
        <v>964</v>
      </c>
      <c r="C147" s="2"/>
      <c r="D147" s="2" t="s">
        <v>814</v>
      </c>
      <c r="E147" s="2" t="s">
        <v>29</v>
      </c>
      <c r="F147" s="2" t="s">
        <v>965</v>
      </c>
      <c r="G147" s="2" t="s">
        <v>966</v>
      </c>
      <c r="H147" s="2" t="s">
        <v>967</v>
      </c>
      <c r="I147" s="2" t="s">
        <v>968</v>
      </c>
      <c r="J147" s="2" t="s">
        <v>969</v>
      </c>
      <c r="K147" s="2" t="s">
        <v>27</v>
      </c>
      <c r="L147" s="2" t="s">
        <v>26</v>
      </c>
      <c r="M147" s="2"/>
      <c r="N147" s="2"/>
      <c r="O147" s="2" t="s">
        <v>741</v>
      </c>
    </row>
    <row r="148" spans="1:15" ht="96" customHeight="1">
      <c r="A148" s="2">
        <v>147</v>
      </c>
      <c r="B148" s="2" t="s">
        <v>970</v>
      </c>
      <c r="C148" s="2"/>
      <c r="D148" s="2" t="s">
        <v>814</v>
      </c>
      <c r="E148" s="2" t="s">
        <v>29</v>
      </c>
      <c r="F148" s="2" t="s">
        <v>971</v>
      </c>
      <c r="G148" s="2" t="s">
        <v>972</v>
      </c>
      <c r="H148" s="2" t="s">
        <v>973</v>
      </c>
      <c r="I148" s="2" t="s">
        <v>974</v>
      </c>
      <c r="J148" s="2" t="s">
        <v>975</v>
      </c>
      <c r="K148" s="2" t="s">
        <v>27</v>
      </c>
      <c r="L148" s="2" t="s">
        <v>26</v>
      </c>
      <c r="M148" s="2"/>
      <c r="N148" s="2"/>
      <c r="O148" s="2" t="s">
        <v>741</v>
      </c>
    </row>
    <row r="149" spans="1:15" ht="96" customHeight="1">
      <c r="A149" s="2">
        <v>148</v>
      </c>
      <c r="B149" s="2" t="s">
        <v>976</v>
      </c>
      <c r="C149" s="2"/>
      <c r="D149" s="2" t="s">
        <v>814</v>
      </c>
      <c r="E149" s="2" t="s">
        <v>29</v>
      </c>
      <c r="F149" s="2" t="s">
        <v>977</v>
      </c>
      <c r="G149" s="2" t="s">
        <v>978</v>
      </c>
      <c r="H149" s="2" t="s">
        <v>979</v>
      </c>
      <c r="I149" s="2" t="s">
        <v>980</v>
      </c>
      <c r="J149" s="2" t="s">
        <v>981</v>
      </c>
      <c r="K149" s="2" t="s">
        <v>27</v>
      </c>
      <c r="L149" s="2" t="s">
        <v>26</v>
      </c>
      <c r="M149" s="2"/>
      <c r="N149" s="2"/>
      <c r="O149" s="2" t="s">
        <v>741</v>
      </c>
    </row>
    <row r="150" spans="1:15" ht="96" customHeight="1">
      <c r="A150" s="2">
        <v>149</v>
      </c>
      <c r="B150" s="2" t="s">
        <v>982</v>
      </c>
      <c r="C150" s="2"/>
      <c r="D150" s="2" t="s">
        <v>814</v>
      </c>
      <c r="E150" s="2" t="s">
        <v>74</v>
      </c>
      <c r="F150" s="2" t="s">
        <v>983</v>
      </c>
      <c r="G150" s="2" t="s">
        <v>984</v>
      </c>
      <c r="H150" s="2" t="s">
        <v>985</v>
      </c>
      <c r="I150" s="2" t="s">
        <v>986</v>
      </c>
      <c r="J150" s="2" t="s">
        <v>987</v>
      </c>
      <c r="K150" s="2" t="s">
        <v>27</v>
      </c>
      <c r="L150" s="2" t="s">
        <v>26</v>
      </c>
      <c r="M150" s="2"/>
      <c r="N150" s="2"/>
      <c r="O150" s="2" t="s">
        <v>741</v>
      </c>
    </row>
    <row r="151" spans="1:15" ht="96" customHeight="1">
      <c r="A151" s="2">
        <v>150</v>
      </c>
      <c r="B151" s="2" t="s">
        <v>988</v>
      </c>
      <c r="C151" s="2"/>
      <c r="D151" s="2" t="s">
        <v>814</v>
      </c>
      <c r="E151" s="2" t="s">
        <v>29</v>
      </c>
      <c r="F151" s="2" t="s">
        <v>989</v>
      </c>
      <c r="G151" s="2" t="s">
        <v>990</v>
      </c>
      <c r="H151" s="2" t="s">
        <v>991</v>
      </c>
      <c r="I151" s="2" t="s">
        <v>992</v>
      </c>
      <c r="J151" s="2" t="s">
        <v>993</v>
      </c>
      <c r="K151" s="2" t="s">
        <v>29</v>
      </c>
      <c r="L151" s="2" t="s">
        <v>26</v>
      </c>
      <c r="M151" s="2"/>
      <c r="N151" s="2"/>
      <c r="O151" s="2" t="s">
        <v>741</v>
      </c>
    </row>
    <row r="152" spans="1:15" ht="96" customHeight="1">
      <c r="A152" s="2">
        <v>151</v>
      </c>
      <c r="B152" s="2" t="s">
        <v>994</v>
      </c>
      <c r="C152" s="2" t="s">
        <v>995</v>
      </c>
      <c r="D152" s="2" t="s">
        <v>814</v>
      </c>
      <c r="E152" s="2" t="s">
        <v>29</v>
      </c>
      <c r="F152" s="2" t="s">
        <v>996</v>
      </c>
      <c r="G152" s="2" t="s">
        <v>997</v>
      </c>
      <c r="H152" s="2" t="s">
        <v>998</v>
      </c>
      <c r="I152" s="2" t="s">
        <v>999</v>
      </c>
      <c r="J152" s="2" t="s">
        <v>1000</v>
      </c>
      <c r="K152" s="2" t="s">
        <v>27</v>
      </c>
      <c r="L152" s="2" t="s">
        <v>26</v>
      </c>
      <c r="M152" s="2"/>
      <c r="N152" s="2"/>
      <c r="O152" s="2" t="s">
        <v>741</v>
      </c>
    </row>
    <row r="153" spans="1:15" ht="96" customHeight="1">
      <c r="A153" s="2">
        <v>152</v>
      </c>
      <c r="B153" s="2" t="s">
        <v>1001</v>
      </c>
      <c r="C153" s="2" t="s">
        <v>1002</v>
      </c>
      <c r="D153" s="2" t="s">
        <v>814</v>
      </c>
      <c r="E153" s="2" t="s">
        <v>311</v>
      </c>
      <c r="F153" s="2" t="s">
        <v>1003</v>
      </c>
      <c r="G153" s="2" t="s">
        <v>1004</v>
      </c>
      <c r="H153" s="2" t="s">
        <v>1005</v>
      </c>
      <c r="I153" s="2" t="s">
        <v>1006</v>
      </c>
      <c r="J153" s="2" t="s">
        <v>1007</v>
      </c>
      <c r="K153" s="2" t="s">
        <v>29</v>
      </c>
      <c r="L153" s="2" t="s">
        <v>26</v>
      </c>
      <c r="M153" s="2"/>
      <c r="N153" s="2"/>
      <c r="O153" s="2" t="s">
        <v>741</v>
      </c>
    </row>
    <row r="154" spans="1:15" ht="96" customHeight="1">
      <c r="A154" s="2">
        <v>153</v>
      </c>
      <c r="B154" s="2" t="s">
        <v>1008</v>
      </c>
      <c r="C154" s="2"/>
      <c r="D154" s="2" t="s">
        <v>814</v>
      </c>
      <c r="E154" s="2" t="s">
        <v>29</v>
      </c>
      <c r="F154" s="2" t="s">
        <v>1009</v>
      </c>
      <c r="G154" s="2" t="s">
        <v>1010</v>
      </c>
      <c r="H154" s="2" t="s">
        <v>1011</v>
      </c>
      <c r="I154" s="2" t="s">
        <v>1012</v>
      </c>
      <c r="J154" s="2" t="s">
        <v>1013</v>
      </c>
      <c r="K154" s="2" t="s">
        <v>27</v>
      </c>
      <c r="L154" s="2" t="s">
        <v>26</v>
      </c>
      <c r="M154" s="2"/>
      <c r="N154" s="2"/>
      <c r="O154" s="2" t="s">
        <v>741</v>
      </c>
    </row>
    <row r="155" spans="1:15" ht="96" customHeight="1">
      <c r="A155" s="2">
        <v>154</v>
      </c>
      <c r="B155" s="2" t="s">
        <v>1014</v>
      </c>
      <c r="C155" s="2"/>
      <c r="D155" s="2" t="s">
        <v>814</v>
      </c>
      <c r="E155" s="2" t="s">
        <v>29</v>
      </c>
      <c r="F155" s="2" t="s">
        <v>1015</v>
      </c>
      <c r="G155" s="2" t="s">
        <v>1016</v>
      </c>
      <c r="H155" s="2" t="s">
        <v>1017</v>
      </c>
      <c r="I155" s="2" t="s">
        <v>1018</v>
      </c>
      <c r="J155" s="2" t="s">
        <v>1019</v>
      </c>
      <c r="K155" s="2" t="s">
        <v>29</v>
      </c>
      <c r="L155" s="2" t="s">
        <v>26</v>
      </c>
      <c r="M155" s="2"/>
      <c r="N155" s="2"/>
      <c r="O155" s="2" t="s">
        <v>741</v>
      </c>
    </row>
    <row r="156" spans="1:15" ht="96" customHeight="1">
      <c r="A156" s="2">
        <v>155</v>
      </c>
      <c r="B156" s="2" t="s">
        <v>1020</v>
      </c>
      <c r="C156" s="2"/>
      <c r="D156" s="2" t="s">
        <v>814</v>
      </c>
      <c r="E156" s="2" t="s">
        <v>29</v>
      </c>
      <c r="F156" s="2" t="s">
        <v>1021</v>
      </c>
      <c r="G156" s="2" t="s">
        <v>1022</v>
      </c>
      <c r="H156" s="2" t="s">
        <v>1023</v>
      </c>
      <c r="I156" s="2" t="s">
        <v>1024</v>
      </c>
      <c r="J156" s="2" t="s">
        <v>1025</v>
      </c>
      <c r="K156" s="2" t="s">
        <v>27</v>
      </c>
      <c r="L156" s="2" t="s">
        <v>26</v>
      </c>
      <c r="M156" s="2"/>
      <c r="N156" s="2"/>
      <c r="O156" s="2" t="s">
        <v>741</v>
      </c>
    </row>
    <row r="157" spans="1:15" ht="96" customHeight="1">
      <c r="A157" s="2">
        <v>156</v>
      </c>
      <c r="B157" s="2" t="s">
        <v>1026</v>
      </c>
      <c r="C157" s="2"/>
      <c r="D157" s="2" t="s">
        <v>814</v>
      </c>
      <c r="E157" s="2" t="s">
        <v>74</v>
      </c>
      <c r="F157" s="2" t="s">
        <v>1027</v>
      </c>
      <c r="G157" s="2" t="s">
        <v>1028</v>
      </c>
      <c r="H157" s="2" t="s">
        <v>1029</v>
      </c>
      <c r="I157" s="2" t="s">
        <v>1030</v>
      </c>
      <c r="J157" s="2" t="s">
        <v>1031</v>
      </c>
      <c r="K157" s="2" t="s">
        <v>27</v>
      </c>
      <c r="L157" s="2" t="s">
        <v>26</v>
      </c>
      <c r="M157" s="2"/>
      <c r="N157" s="2"/>
      <c r="O157" s="2" t="s">
        <v>741</v>
      </c>
    </row>
    <row r="158" spans="1:15" ht="96" customHeight="1">
      <c r="A158" s="2">
        <v>157</v>
      </c>
      <c r="B158" s="2" t="s">
        <v>1032</v>
      </c>
      <c r="C158" s="2"/>
      <c r="D158" s="2" t="s">
        <v>814</v>
      </c>
      <c r="E158" s="2" t="s">
        <v>29</v>
      </c>
      <c r="F158" s="2" t="s">
        <v>1033</v>
      </c>
      <c r="G158" s="2" t="s">
        <v>1034</v>
      </c>
      <c r="H158" s="2" t="s">
        <v>1035</v>
      </c>
      <c r="I158" s="2" t="s">
        <v>1036</v>
      </c>
      <c r="J158" s="2" t="s">
        <v>1037</v>
      </c>
      <c r="K158" s="2" t="s">
        <v>27</v>
      </c>
      <c r="L158" s="2" t="s">
        <v>26</v>
      </c>
      <c r="M158" s="2"/>
      <c r="N158" s="2"/>
      <c r="O158" s="2" t="s">
        <v>741</v>
      </c>
    </row>
    <row r="159" spans="1:15" ht="96" customHeight="1">
      <c r="A159" s="2">
        <v>158</v>
      </c>
      <c r="B159" s="2" t="s">
        <v>1038</v>
      </c>
      <c r="C159" s="2"/>
      <c r="D159" s="2" t="s">
        <v>814</v>
      </c>
      <c r="E159" s="2" t="s">
        <v>29</v>
      </c>
      <c r="F159" s="2" t="s">
        <v>1039</v>
      </c>
      <c r="G159" s="2" t="s">
        <v>1040</v>
      </c>
      <c r="H159" s="2" t="s">
        <v>1041</v>
      </c>
      <c r="I159" s="2" t="s">
        <v>1042</v>
      </c>
      <c r="J159" s="2" t="s">
        <v>1043</v>
      </c>
      <c r="K159" s="2" t="s">
        <v>27</v>
      </c>
      <c r="L159" s="2" t="s">
        <v>26</v>
      </c>
      <c r="M159" s="2"/>
      <c r="N159" s="2"/>
      <c r="O159" s="2" t="s">
        <v>741</v>
      </c>
    </row>
    <row r="160" spans="1:15" ht="96" customHeight="1">
      <c r="A160" s="2">
        <v>159</v>
      </c>
      <c r="B160" s="2" t="s">
        <v>1044</v>
      </c>
      <c r="C160" s="2" t="s">
        <v>1045</v>
      </c>
      <c r="D160" s="2" t="s">
        <v>814</v>
      </c>
      <c r="E160" s="2" t="s">
        <v>29</v>
      </c>
      <c r="F160" s="2" t="s">
        <v>1046</v>
      </c>
      <c r="G160" s="2" t="s">
        <v>1047</v>
      </c>
      <c r="H160" s="2" t="s">
        <v>1048</v>
      </c>
      <c r="I160" s="2" t="s">
        <v>1049</v>
      </c>
      <c r="J160" s="2" t="s">
        <v>1050</v>
      </c>
      <c r="K160" s="2" t="s">
        <v>27</v>
      </c>
      <c r="L160" s="2" t="s">
        <v>26</v>
      </c>
      <c r="M160" s="2"/>
      <c r="N160" s="2"/>
      <c r="O160" s="2" t="s">
        <v>741</v>
      </c>
    </row>
    <row r="161" spans="1:15" ht="96" customHeight="1">
      <c r="A161" s="2">
        <v>160</v>
      </c>
      <c r="B161" s="2" t="s">
        <v>1051</v>
      </c>
      <c r="C161" s="2"/>
      <c r="D161" s="2" t="s">
        <v>814</v>
      </c>
      <c r="E161" s="2" t="s">
        <v>29</v>
      </c>
      <c r="F161" s="2" t="s">
        <v>1052</v>
      </c>
      <c r="G161" s="2" t="s">
        <v>1053</v>
      </c>
      <c r="H161" s="2" t="s">
        <v>1054</v>
      </c>
      <c r="I161" s="2" t="s">
        <v>1055</v>
      </c>
      <c r="J161" s="2" t="s">
        <v>1056</v>
      </c>
      <c r="K161" s="2" t="s">
        <v>27</v>
      </c>
      <c r="L161" s="2" t="s">
        <v>26</v>
      </c>
      <c r="M161" s="2"/>
      <c r="N161" s="2"/>
      <c r="O161" s="2" t="s">
        <v>741</v>
      </c>
    </row>
    <row r="162" spans="1:15" ht="96" customHeight="1">
      <c r="A162" s="2">
        <v>161</v>
      </c>
      <c r="B162" s="2" t="s">
        <v>1057</v>
      </c>
      <c r="C162" s="2" t="s">
        <v>1058</v>
      </c>
      <c r="D162" s="2" t="s">
        <v>814</v>
      </c>
      <c r="E162" s="2" t="s">
        <v>29</v>
      </c>
      <c r="F162" s="2" t="s">
        <v>1059</v>
      </c>
      <c r="G162" s="2" t="s">
        <v>1060</v>
      </c>
      <c r="H162" s="2" t="s">
        <v>1061</v>
      </c>
      <c r="I162" s="2" t="s">
        <v>1062</v>
      </c>
      <c r="J162" s="2" t="s">
        <v>1063</v>
      </c>
      <c r="K162" s="2" t="s">
        <v>27</v>
      </c>
      <c r="L162" s="2" t="s">
        <v>26</v>
      </c>
      <c r="M162" s="2"/>
      <c r="N162" s="2"/>
      <c r="O162" s="2" t="s">
        <v>741</v>
      </c>
    </row>
    <row r="163" spans="1:15" ht="96" customHeight="1">
      <c r="A163" s="2">
        <v>162</v>
      </c>
      <c r="B163" s="2" t="s">
        <v>1064</v>
      </c>
      <c r="C163" s="2" t="s">
        <v>1065</v>
      </c>
      <c r="D163" s="2" t="s">
        <v>814</v>
      </c>
      <c r="E163" s="2" t="s">
        <v>29</v>
      </c>
      <c r="F163" s="2" t="s">
        <v>1066</v>
      </c>
      <c r="G163" s="2" t="s">
        <v>1067</v>
      </c>
      <c r="H163" s="2" t="s">
        <v>1068</v>
      </c>
      <c r="I163" s="2" t="s">
        <v>1069</v>
      </c>
      <c r="J163" s="2" t="s">
        <v>1070</v>
      </c>
      <c r="K163" s="2" t="s">
        <v>29</v>
      </c>
      <c r="L163" s="2" t="s">
        <v>26</v>
      </c>
      <c r="M163" s="2"/>
      <c r="N163" s="2"/>
      <c r="O163" s="2" t="s">
        <v>741</v>
      </c>
    </row>
    <row r="164" spans="1:15" ht="96" customHeight="1">
      <c r="A164" s="2">
        <v>163</v>
      </c>
      <c r="B164" s="2" t="s">
        <v>1071</v>
      </c>
      <c r="C164" s="2"/>
      <c r="D164" s="2" t="s">
        <v>814</v>
      </c>
      <c r="E164" s="2" t="s">
        <v>29</v>
      </c>
      <c r="F164" s="2" t="s">
        <v>1072</v>
      </c>
      <c r="G164" s="2" t="s">
        <v>1073</v>
      </c>
      <c r="H164" s="2" t="s">
        <v>1074</v>
      </c>
      <c r="I164" s="2" t="s">
        <v>1075</v>
      </c>
      <c r="J164" s="2" t="s">
        <v>1076</v>
      </c>
      <c r="K164" s="2" t="s">
        <v>27</v>
      </c>
      <c r="L164" s="2" t="s">
        <v>26</v>
      </c>
      <c r="M164" s="2"/>
      <c r="N164" s="2"/>
      <c r="O164" s="2" t="s">
        <v>741</v>
      </c>
    </row>
    <row r="165" spans="1:15" ht="96" customHeight="1">
      <c r="A165" s="2">
        <v>164</v>
      </c>
      <c r="B165" s="2" t="s">
        <v>1077</v>
      </c>
      <c r="C165" s="2"/>
      <c r="D165" s="2" t="s">
        <v>814</v>
      </c>
      <c r="E165" s="2" t="s">
        <v>29</v>
      </c>
      <c r="F165" s="2" t="s">
        <v>1078</v>
      </c>
      <c r="G165" s="2" t="s">
        <v>1079</v>
      </c>
      <c r="H165" s="2" t="s">
        <v>1080</v>
      </c>
      <c r="I165" s="2" t="s">
        <v>1081</v>
      </c>
      <c r="J165" s="2" t="s">
        <v>1082</v>
      </c>
      <c r="K165" s="2" t="s">
        <v>27</v>
      </c>
      <c r="L165" s="2" t="s">
        <v>26</v>
      </c>
      <c r="M165" s="2"/>
      <c r="N165" s="2"/>
      <c r="O165" s="2" t="s">
        <v>741</v>
      </c>
    </row>
    <row r="166" spans="1:15" ht="96" customHeight="1">
      <c r="A166" s="2">
        <v>165</v>
      </c>
      <c r="B166" s="2" t="s">
        <v>1083</v>
      </c>
      <c r="C166" s="2"/>
      <c r="D166" s="2" t="s">
        <v>814</v>
      </c>
      <c r="E166" s="2" t="s">
        <v>29</v>
      </c>
      <c r="F166" s="2" t="s">
        <v>1084</v>
      </c>
      <c r="G166" s="2" t="s">
        <v>1085</v>
      </c>
      <c r="H166" s="2" t="s">
        <v>1086</v>
      </c>
      <c r="I166" s="2" t="s">
        <v>1087</v>
      </c>
      <c r="J166" s="2" t="s">
        <v>1088</v>
      </c>
      <c r="K166" s="2" t="s">
        <v>27</v>
      </c>
      <c r="L166" s="2" t="s">
        <v>26</v>
      </c>
      <c r="M166" s="2"/>
      <c r="N166" s="2"/>
      <c r="O166" s="2" t="s">
        <v>741</v>
      </c>
    </row>
    <row r="167" spans="1:15" ht="96" customHeight="1">
      <c r="A167" s="2">
        <v>166</v>
      </c>
      <c r="B167" s="2" t="s">
        <v>1089</v>
      </c>
      <c r="C167" s="2"/>
      <c r="D167" s="2" t="s">
        <v>1090</v>
      </c>
      <c r="E167" s="2" t="s">
        <v>74</v>
      </c>
      <c r="F167" s="2" t="s">
        <v>1091</v>
      </c>
      <c r="G167" s="2" t="s">
        <v>1092</v>
      </c>
      <c r="H167" s="2" t="s">
        <v>1093</v>
      </c>
      <c r="I167" s="2" t="s">
        <v>1094</v>
      </c>
      <c r="J167" s="2" t="s">
        <v>1095</v>
      </c>
      <c r="K167" s="2" t="s">
        <v>27</v>
      </c>
      <c r="L167" s="2" t="s">
        <v>26</v>
      </c>
      <c r="M167" s="2"/>
      <c r="N167" s="2"/>
      <c r="O167" s="2" t="s">
        <v>1096</v>
      </c>
    </row>
    <row r="168" spans="1:15" ht="96" customHeight="1">
      <c r="A168" s="2">
        <v>167</v>
      </c>
      <c r="B168" s="2" t="s">
        <v>42</v>
      </c>
      <c r="C168" s="2"/>
      <c r="D168" s="2" t="s">
        <v>1090</v>
      </c>
      <c r="E168" s="2" t="s">
        <v>74</v>
      </c>
      <c r="F168" s="2" t="s">
        <v>1097</v>
      </c>
      <c r="G168" s="2" t="s">
        <v>1098</v>
      </c>
      <c r="H168" s="2" t="s">
        <v>1099</v>
      </c>
      <c r="I168" s="2" t="s">
        <v>1100</v>
      </c>
      <c r="J168" s="2" t="s">
        <v>1101</v>
      </c>
      <c r="K168" s="2" t="s">
        <v>27</v>
      </c>
      <c r="L168" s="2" t="s">
        <v>26</v>
      </c>
      <c r="M168" s="2"/>
      <c r="N168" s="2"/>
      <c r="O168" s="2" t="s">
        <v>1096</v>
      </c>
    </row>
    <row r="169" spans="1:15" ht="96" customHeight="1">
      <c r="A169" s="2">
        <v>168</v>
      </c>
      <c r="B169" s="2" t="s">
        <v>1102</v>
      </c>
      <c r="C169" s="2"/>
      <c r="D169" s="2" t="s">
        <v>1090</v>
      </c>
      <c r="E169" s="2" t="s">
        <v>74</v>
      </c>
      <c r="F169" s="2" t="s">
        <v>1103</v>
      </c>
      <c r="G169" s="2" t="s">
        <v>1104</v>
      </c>
      <c r="H169" s="2" t="s">
        <v>1105</v>
      </c>
      <c r="I169" s="2" t="s">
        <v>1106</v>
      </c>
      <c r="J169" s="2" t="s">
        <v>1107</v>
      </c>
      <c r="K169" s="2" t="s">
        <v>27</v>
      </c>
      <c r="L169" s="2" t="s">
        <v>26</v>
      </c>
      <c r="M169" s="2"/>
      <c r="N169" s="2"/>
      <c r="O169" s="2" t="s">
        <v>1096</v>
      </c>
    </row>
    <row r="170" spans="1:15" ht="96" customHeight="1">
      <c r="A170" s="2">
        <v>169</v>
      </c>
      <c r="B170" s="2" t="s">
        <v>1108</v>
      </c>
      <c r="C170" s="2" t="s">
        <v>1109</v>
      </c>
      <c r="D170" s="2" t="s">
        <v>1090</v>
      </c>
      <c r="E170" s="2" t="s">
        <v>29</v>
      </c>
      <c r="F170" s="2" t="s">
        <v>1110</v>
      </c>
      <c r="G170" s="2" t="s">
        <v>1111</v>
      </c>
      <c r="H170" s="2" t="s">
        <v>1112</v>
      </c>
      <c r="I170" s="2" t="s">
        <v>1113</v>
      </c>
      <c r="J170" s="2" t="s">
        <v>1114</v>
      </c>
      <c r="K170" s="2" t="s">
        <v>27</v>
      </c>
      <c r="L170" s="2" t="s">
        <v>26</v>
      </c>
      <c r="M170" s="2"/>
      <c r="N170" s="2"/>
      <c r="O170" s="2" t="s">
        <v>1096</v>
      </c>
    </row>
    <row r="171" spans="1:15" ht="96" customHeight="1">
      <c r="A171" s="2">
        <v>170</v>
      </c>
      <c r="B171" s="2" t="s">
        <v>43</v>
      </c>
      <c r="C171" s="2"/>
      <c r="D171" s="2" t="s">
        <v>1090</v>
      </c>
      <c r="E171" s="2" t="s">
        <v>74</v>
      </c>
      <c r="F171" s="2" t="s">
        <v>1115</v>
      </c>
      <c r="G171" s="2" t="s">
        <v>1116</v>
      </c>
      <c r="H171" s="2" t="s">
        <v>1117</v>
      </c>
      <c r="I171" s="2" t="s">
        <v>1118</v>
      </c>
      <c r="J171" s="2" t="s">
        <v>1119</v>
      </c>
      <c r="K171" s="2" t="s">
        <v>27</v>
      </c>
      <c r="L171" s="2" t="s">
        <v>26</v>
      </c>
      <c r="M171" s="2"/>
      <c r="N171" s="2"/>
      <c r="O171" s="2" t="s">
        <v>1096</v>
      </c>
    </row>
    <row r="172" spans="1:15" ht="96" customHeight="1">
      <c r="A172" s="2">
        <v>171</v>
      </c>
      <c r="B172" s="2" t="s">
        <v>1120</v>
      </c>
      <c r="C172" s="2"/>
      <c r="D172" s="2" t="s">
        <v>1090</v>
      </c>
      <c r="E172" s="2" t="s">
        <v>29</v>
      </c>
      <c r="F172" s="2" t="s">
        <v>1121</v>
      </c>
      <c r="G172" s="2" t="s">
        <v>1122</v>
      </c>
      <c r="H172" s="2" t="s">
        <v>1123</v>
      </c>
      <c r="I172" s="2" t="s">
        <v>1124</v>
      </c>
      <c r="J172" s="2" t="s">
        <v>1125</v>
      </c>
      <c r="K172" s="2" t="s">
        <v>29</v>
      </c>
      <c r="L172" s="2" t="s">
        <v>26</v>
      </c>
      <c r="M172" s="2"/>
      <c r="N172" s="2"/>
      <c r="O172" s="2" t="s">
        <v>1096</v>
      </c>
    </row>
    <row r="173" spans="1:15" ht="96" customHeight="1">
      <c r="A173" s="2">
        <v>172</v>
      </c>
      <c r="B173" s="2" t="s">
        <v>1126</v>
      </c>
      <c r="C173" s="2"/>
      <c r="D173" s="2" t="s">
        <v>1090</v>
      </c>
      <c r="E173" s="2" t="s">
        <v>29</v>
      </c>
      <c r="F173" s="2" t="s">
        <v>1127</v>
      </c>
      <c r="G173" s="2" t="s">
        <v>1128</v>
      </c>
      <c r="H173" s="2" t="s">
        <v>1129</v>
      </c>
      <c r="I173" s="2" t="s">
        <v>1130</v>
      </c>
      <c r="J173" s="2" t="s">
        <v>1131</v>
      </c>
      <c r="K173" s="2" t="s">
        <v>27</v>
      </c>
      <c r="L173" s="2" t="s">
        <v>26</v>
      </c>
      <c r="M173" s="2"/>
      <c r="N173" s="2"/>
      <c r="O173" s="2" t="s">
        <v>1096</v>
      </c>
    </row>
    <row r="174" spans="1:15" ht="96" customHeight="1">
      <c r="A174" s="2">
        <v>173</v>
      </c>
      <c r="B174" s="2" t="s">
        <v>1132</v>
      </c>
      <c r="C174" s="2"/>
      <c r="D174" s="2" t="s">
        <v>1090</v>
      </c>
      <c r="E174" s="2" t="s">
        <v>29</v>
      </c>
      <c r="F174" s="2" t="s">
        <v>1133</v>
      </c>
      <c r="G174" s="2" t="s">
        <v>1134</v>
      </c>
      <c r="H174" s="2" t="s">
        <v>1135</v>
      </c>
      <c r="I174" s="2" t="s">
        <v>1136</v>
      </c>
      <c r="J174" s="2" t="s">
        <v>1137</v>
      </c>
      <c r="K174" s="2" t="s">
        <v>27</v>
      </c>
      <c r="L174" s="2" t="s">
        <v>26</v>
      </c>
      <c r="M174" s="2"/>
      <c r="N174" s="2"/>
      <c r="O174" s="2" t="s">
        <v>1096</v>
      </c>
    </row>
    <row r="175" spans="1:15" ht="96" customHeight="1">
      <c r="A175" s="2">
        <v>174</v>
      </c>
      <c r="B175" s="2" t="s">
        <v>44</v>
      </c>
      <c r="C175" s="2"/>
      <c r="D175" s="2" t="s">
        <v>1090</v>
      </c>
      <c r="E175" s="2" t="s">
        <v>74</v>
      </c>
      <c r="F175" s="2" t="s">
        <v>1138</v>
      </c>
      <c r="G175" s="2" t="s">
        <v>1139</v>
      </c>
      <c r="H175" s="2" t="s">
        <v>1140</v>
      </c>
      <c r="I175" s="2" t="s">
        <v>1141</v>
      </c>
      <c r="J175" s="2" t="s">
        <v>1142</v>
      </c>
      <c r="K175" s="2" t="s">
        <v>27</v>
      </c>
      <c r="L175" s="2" t="s">
        <v>26</v>
      </c>
      <c r="M175" s="2"/>
      <c r="N175" s="2"/>
      <c r="O175" s="2" t="s">
        <v>1096</v>
      </c>
    </row>
    <row r="176" spans="1:15" ht="96" customHeight="1">
      <c r="A176" s="2">
        <v>175</v>
      </c>
      <c r="B176" s="2" t="s">
        <v>1143</v>
      </c>
      <c r="C176" s="2"/>
      <c r="D176" s="2" t="s">
        <v>1090</v>
      </c>
      <c r="E176" s="2" t="s">
        <v>29</v>
      </c>
      <c r="F176" s="2" t="s">
        <v>1144</v>
      </c>
      <c r="G176" s="2" t="s">
        <v>1145</v>
      </c>
      <c r="H176" s="2" t="s">
        <v>1146</v>
      </c>
      <c r="I176" s="2" t="s">
        <v>1147</v>
      </c>
      <c r="J176" s="2" t="s">
        <v>1148</v>
      </c>
      <c r="K176" s="2" t="s">
        <v>27</v>
      </c>
      <c r="L176" s="2" t="s">
        <v>26</v>
      </c>
      <c r="M176" s="2"/>
      <c r="N176" s="2"/>
      <c r="O176" s="2" t="s">
        <v>1096</v>
      </c>
    </row>
    <row r="177" spans="1:15" ht="96" customHeight="1">
      <c r="A177" s="2">
        <v>176</v>
      </c>
      <c r="B177" s="2" t="s">
        <v>1149</v>
      </c>
      <c r="C177" s="2"/>
      <c r="D177" s="2" t="s">
        <v>1090</v>
      </c>
      <c r="E177" s="2" t="s">
        <v>29</v>
      </c>
      <c r="F177" s="2" t="s">
        <v>1150</v>
      </c>
      <c r="G177" s="2" t="s">
        <v>1151</v>
      </c>
      <c r="H177" s="2" t="s">
        <v>1152</v>
      </c>
      <c r="I177" s="2" t="s">
        <v>1153</v>
      </c>
      <c r="J177" s="2" t="s">
        <v>1154</v>
      </c>
      <c r="K177" s="2" t="s">
        <v>27</v>
      </c>
      <c r="L177" s="2" t="s">
        <v>26</v>
      </c>
      <c r="M177" s="2"/>
      <c r="N177" s="2"/>
      <c r="O177" s="2" t="s">
        <v>1096</v>
      </c>
    </row>
    <row r="178" spans="1:15" ht="96" customHeight="1">
      <c r="A178" s="2">
        <v>177</v>
      </c>
      <c r="B178" s="2" t="s">
        <v>1155</v>
      </c>
      <c r="C178" s="2"/>
      <c r="D178" s="2" t="s">
        <v>1090</v>
      </c>
      <c r="E178" s="2" t="s">
        <v>29</v>
      </c>
      <c r="F178" s="2" t="s">
        <v>1156</v>
      </c>
      <c r="G178" s="2" t="s">
        <v>1157</v>
      </c>
      <c r="H178" s="2" t="s">
        <v>1158</v>
      </c>
      <c r="I178" s="2" t="s">
        <v>1159</v>
      </c>
      <c r="J178" s="2" t="s">
        <v>1160</v>
      </c>
      <c r="K178" s="2" t="s">
        <v>29</v>
      </c>
      <c r="L178" s="2" t="s">
        <v>26</v>
      </c>
      <c r="M178" s="2"/>
      <c r="N178" s="2"/>
      <c r="O178" s="2" t="s">
        <v>1096</v>
      </c>
    </row>
    <row r="179" spans="1:15" ht="96" customHeight="1">
      <c r="A179" s="2">
        <v>178</v>
      </c>
      <c r="B179" s="2" t="s">
        <v>1161</v>
      </c>
      <c r="C179" s="2"/>
      <c r="D179" s="2" t="s">
        <v>1090</v>
      </c>
      <c r="E179" s="2" t="s">
        <v>29</v>
      </c>
      <c r="F179" s="2" t="s">
        <v>1162</v>
      </c>
      <c r="G179" s="2" t="s">
        <v>1163</v>
      </c>
      <c r="H179" s="2" t="s">
        <v>1164</v>
      </c>
      <c r="I179" s="2" t="s">
        <v>1165</v>
      </c>
      <c r="J179" s="2" t="s">
        <v>1166</v>
      </c>
      <c r="K179" s="2" t="s">
        <v>29</v>
      </c>
      <c r="L179" s="2" t="s">
        <v>26</v>
      </c>
      <c r="M179" s="2"/>
      <c r="N179" s="2"/>
      <c r="O179" s="2" t="s">
        <v>1096</v>
      </c>
    </row>
    <row r="180" spans="1:15" ht="96" customHeight="1">
      <c r="A180" s="2">
        <v>179</v>
      </c>
      <c r="B180" s="2" t="s">
        <v>1167</v>
      </c>
      <c r="C180" s="2"/>
      <c r="D180" s="2" t="s">
        <v>1090</v>
      </c>
      <c r="E180" s="2" t="s">
        <v>74</v>
      </c>
      <c r="F180" s="2" t="s">
        <v>1168</v>
      </c>
      <c r="G180" s="2" t="s">
        <v>1169</v>
      </c>
      <c r="H180" s="2" t="s">
        <v>1170</v>
      </c>
      <c r="I180" s="2" t="s">
        <v>1171</v>
      </c>
      <c r="J180" s="2" t="s">
        <v>1172</v>
      </c>
      <c r="K180" s="2" t="s">
        <v>27</v>
      </c>
      <c r="L180" s="2" t="s">
        <v>26</v>
      </c>
      <c r="M180" s="2"/>
      <c r="N180" s="2"/>
      <c r="O180" s="2" t="s">
        <v>1096</v>
      </c>
    </row>
    <row r="181" spans="1:15" ht="96" customHeight="1">
      <c r="A181" s="2">
        <v>180</v>
      </c>
      <c r="B181" s="2" t="s">
        <v>45</v>
      </c>
      <c r="C181" s="2"/>
      <c r="D181" s="2" t="s">
        <v>1090</v>
      </c>
      <c r="E181" s="2" t="s">
        <v>29</v>
      </c>
      <c r="F181" s="2" t="s">
        <v>1173</v>
      </c>
      <c r="G181" s="2" t="s">
        <v>1174</v>
      </c>
      <c r="H181" s="2" t="s">
        <v>1175</v>
      </c>
      <c r="I181" s="2" t="s">
        <v>1176</v>
      </c>
      <c r="J181" s="2" t="s">
        <v>1177</v>
      </c>
      <c r="K181" s="2" t="s">
        <v>27</v>
      </c>
      <c r="L181" s="2" t="s">
        <v>26</v>
      </c>
      <c r="M181" s="2"/>
      <c r="N181" s="2"/>
      <c r="O181" s="2" t="s">
        <v>1096</v>
      </c>
    </row>
    <row r="182" spans="1:15" ht="96" customHeight="1">
      <c r="A182" s="2">
        <v>181</v>
      </c>
      <c r="B182" s="2" t="s">
        <v>1178</v>
      </c>
      <c r="C182" s="2"/>
      <c r="D182" s="2" t="s">
        <v>1090</v>
      </c>
      <c r="E182" s="2" t="s">
        <v>29</v>
      </c>
      <c r="F182" s="2" t="s">
        <v>1179</v>
      </c>
      <c r="G182" s="2" t="s">
        <v>1180</v>
      </c>
      <c r="H182" s="2" t="s">
        <v>1181</v>
      </c>
      <c r="I182" s="2" t="s">
        <v>1182</v>
      </c>
      <c r="J182" s="2" t="s">
        <v>1183</v>
      </c>
      <c r="K182" s="2" t="s">
        <v>27</v>
      </c>
      <c r="L182" s="2" t="s">
        <v>26</v>
      </c>
      <c r="M182" s="2"/>
      <c r="N182" s="2"/>
      <c r="O182" s="2" t="s">
        <v>1096</v>
      </c>
    </row>
    <row r="183" spans="1:15" ht="96" customHeight="1">
      <c r="A183" s="2">
        <v>182</v>
      </c>
      <c r="B183" s="2" t="s">
        <v>1184</v>
      </c>
      <c r="C183" s="2"/>
      <c r="D183" s="2" t="s">
        <v>1090</v>
      </c>
      <c r="E183" s="2" t="s">
        <v>29</v>
      </c>
      <c r="F183" s="2" t="s">
        <v>1185</v>
      </c>
      <c r="G183" s="2" t="s">
        <v>1186</v>
      </c>
      <c r="H183" s="2" t="s">
        <v>1187</v>
      </c>
      <c r="I183" s="2" t="s">
        <v>1188</v>
      </c>
      <c r="J183" s="2" t="s">
        <v>1189</v>
      </c>
      <c r="K183" s="2" t="s">
        <v>27</v>
      </c>
      <c r="L183" s="2" t="s">
        <v>26</v>
      </c>
      <c r="M183" s="2"/>
      <c r="N183" s="2"/>
      <c r="O183" s="2" t="s">
        <v>1096</v>
      </c>
    </row>
    <row r="184" spans="1:15" ht="96" customHeight="1">
      <c r="A184" s="2">
        <v>183</v>
      </c>
      <c r="B184" s="2" t="s">
        <v>1190</v>
      </c>
      <c r="C184" s="2"/>
      <c r="D184" s="2" t="s">
        <v>1090</v>
      </c>
      <c r="E184" s="2" t="s">
        <v>29</v>
      </c>
      <c r="F184" s="2" t="s">
        <v>1191</v>
      </c>
      <c r="G184" s="2" t="s">
        <v>1192</v>
      </c>
      <c r="H184" s="2" t="s">
        <v>1193</v>
      </c>
      <c r="I184" s="2" t="s">
        <v>1194</v>
      </c>
      <c r="J184" s="2" t="s">
        <v>1195</v>
      </c>
      <c r="K184" s="2" t="s">
        <v>29</v>
      </c>
      <c r="L184" s="2" t="s">
        <v>26</v>
      </c>
      <c r="M184" s="2"/>
      <c r="N184" s="2"/>
      <c r="O184" s="2" t="s">
        <v>1096</v>
      </c>
    </row>
    <row r="185" spans="1:15" ht="96" customHeight="1">
      <c r="A185" s="2">
        <v>184</v>
      </c>
      <c r="B185" s="2" t="s">
        <v>1196</v>
      </c>
      <c r="C185" s="2"/>
      <c r="D185" s="2" t="s">
        <v>1090</v>
      </c>
      <c r="E185" s="2" t="s">
        <v>74</v>
      </c>
      <c r="F185" s="2" t="s">
        <v>1197</v>
      </c>
      <c r="G185" s="2" t="s">
        <v>1198</v>
      </c>
      <c r="H185" s="2" t="s">
        <v>1199</v>
      </c>
      <c r="I185" s="2" t="s">
        <v>1200</v>
      </c>
      <c r="J185" s="2" t="s">
        <v>1201</v>
      </c>
      <c r="K185" s="2" t="s">
        <v>29</v>
      </c>
      <c r="L185" s="2" t="s">
        <v>26</v>
      </c>
      <c r="M185" s="2"/>
      <c r="N185" s="2"/>
      <c r="O185" s="2" t="s">
        <v>1096</v>
      </c>
    </row>
    <row r="186" spans="1:15" ht="96" customHeight="1">
      <c r="A186" s="2">
        <v>185</v>
      </c>
      <c r="B186" s="2" t="s">
        <v>1202</v>
      </c>
      <c r="C186" s="2"/>
      <c r="D186" s="2" t="s">
        <v>1090</v>
      </c>
      <c r="E186" s="2" t="s">
        <v>74</v>
      </c>
      <c r="F186" s="2" t="s">
        <v>1203</v>
      </c>
      <c r="G186" s="2" t="s">
        <v>1204</v>
      </c>
      <c r="H186" s="2" t="s">
        <v>1205</v>
      </c>
      <c r="I186" s="2" t="s">
        <v>1206</v>
      </c>
      <c r="J186" s="2" t="s">
        <v>1207</v>
      </c>
      <c r="K186" s="2" t="s">
        <v>29</v>
      </c>
      <c r="L186" s="2" t="s">
        <v>26</v>
      </c>
      <c r="M186" s="2"/>
      <c r="N186" s="2"/>
      <c r="O186" s="2" t="s">
        <v>1096</v>
      </c>
    </row>
    <row r="187" spans="1:15" ht="96" customHeight="1">
      <c r="A187" s="2">
        <v>186</v>
      </c>
      <c r="B187" s="2" t="s">
        <v>1208</v>
      </c>
      <c r="C187" s="2"/>
      <c r="D187" s="2" t="s">
        <v>1090</v>
      </c>
      <c r="E187" s="2" t="s">
        <v>29</v>
      </c>
      <c r="F187" s="2" t="s">
        <v>1209</v>
      </c>
      <c r="G187" s="2" t="s">
        <v>1210</v>
      </c>
      <c r="H187" s="2" t="s">
        <v>1211</v>
      </c>
      <c r="I187" s="2" t="s">
        <v>1212</v>
      </c>
      <c r="J187" s="2" t="s">
        <v>1213</v>
      </c>
      <c r="K187" s="2" t="s">
        <v>27</v>
      </c>
      <c r="L187" s="2" t="s">
        <v>26</v>
      </c>
      <c r="M187" s="2"/>
      <c r="N187" s="2"/>
      <c r="O187" s="2" t="s">
        <v>1096</v>
      </c>
    </row>
    <row r="188" spans="1:15" ht="96" customHeight="1">
      <c r="A188" s="2">
        <v>187</v>
      </c>
      <c r="B188" s="2" t="s">
        <v>1214</v>
      </c>
      <c r="C188" s="2"/>
      <c r="D188" s="2" t="s">
        <v>1090</v>
      </c>
      <c r="E188" s="2" t="s">
        <v>29</v>
      </c>
      <c r="F188" s="2" t="s">
        <v>1215</v>
      </c>
      <c r="G188" s="2" t="s">
        <v>1216</v>
      </c>
      <c r="H188" s="2" t="s">
        <v>1217</v>
      </c>
      <c r="I188" s="2" t="s">
        <v>1218</v>
      </c>
      <c r="J188" s="2" t="s">
        <v>1219</v>
      </c>
      <c r="K188" s="2" t="s">
        <v>27</v>
      </c>
      <c r="L188" s="2" t="s">
        <v>26</v>
      </c>
      <c r="M188" s="2"/>
      <c r="N188" s="2"/>
      <c r="O188" s="2" t="s">
        <v>1096</v>
      </c>
    </row>
    <row r="189" spans="1:15" ht="96" customHeight="1">
      <c r="A189" s="2">
        <v>188</v>
      </c>
      <c r="B189" s="2" t="s">
        <v>46</v>
      </c>
      <c r="C189" s="2"/>
      <c r="D189" s="2" t="s">
        <v>1090</v>
      </c>
      <c r="E189" s="2" t="s">
        <v>74</v>
      </c>
      <c r="F189" s="2" t="s">
        <v>1220</v>
      </c>
      <c r="G189" s="2" t="s">
        <v>1221</v>
      </c>
      <c r="H189" s="2" t="s">
        <v>1222</v>
      </c>
      <c r="I189" s="2" t="s">
        <v>1223</v>
      </c>
      <c r="J189" s="2" t="s">
        <v>1224</v>
      </c>
      <c r="K189" s="2" t="s">
        <v>27</v>
      </c>
      <c r="L189" s="2" t="s">
        <v>26</v>
      </c>
      <c r="M189" s="2"/>
      <c r="N189" s="2"/>
      <c r="O189" s="2" t="s">
        <v>1096</v>
      </c>
    </row>
    <row r="190" spans="1:15" ht="96" customHeight="1">
      <c r="A190" s="2">
        <v>189</v>
      </c>
      <c r="B190" s="2" t="s">
        <v>1225</v>
      </c>
      <c r="C190" s="2"/>
      <c r="D190" s="2" t="s">
        <v>1090</v>
      </c>
      <c r="E190" s="2" t="s">
        <v>74</v>
      </c>
      <c r="F190" s="2" t="s">
        <v>1226</v>
      </c>
      <c r="G190" s="2" t="s">
        <v>1227</v>
      </c>
      <c r="H190" s="2" t="s">
        <v>1228</v>
      </c>
      <c r="I190" s="2" t="s">
        <v>1229</v>
      </c>
      <c r="J190" s="2" t="s">
        <v>1230</v>
      </c>
      <c r="K190" s="2" t="s">
        <v>27</v>
      </c>
      <c r="L190" s="2" t="s">
        <v>26</v>
      </c>
      <c r="M190" s="2"/>
      <c r="N190" s="2"/>
      <c r="O190" s="2" t="s">
        <v>1096</v>
      </c>
    </row>
    <row r="191" spans="1:15" ht="96" customHeight="1">
      <c r="A191" s="2">
        <v>190</v>
      </c>
      <c r="B191" s="2" t="s">
        <v>1231</v>
      </c>
      <c r="C191" s="2"/>
      <c r="D191" s="2" t="s">
        <v>1090</v>
      </c>
      <c r="E191" s="2" t="s">
        <v>29</v>
      </c>
      <c r="F191" s="2" t="s">
        <v>1232</v>
      </c>
      <c r="G191" s="2" t="s">
        <v>1233</v>
      </c>
      <c r="H191" s="2" t="s">
        <v>1234</v>
      </c>
      <c r="I191" s="2" t="s">
        <v>1235</v>
      </c>
      <c r="J191" s="2" t="s">
        <v>1236</v>
      </c>
      <c r="K191" s="2" t="s">
        <v>29</v>
      </c>
      <c r="L191" s="2" t="s">
        <v>26</v>
      </c>
      <c r="M191" s="2"/>
      <c r="N191" s="2"/>
      <c r="O191" s="2" t="s">
        <v>1096</v>
      </c>
    </row>
    <row r="192" spans="1:15" ht="96" customHeight="1">
      <c r="A192" s="2">
        <v>191</v>
      </c>
      <c r="B192" s="2" t="s">
        <v>1237</v>
      </c>
      <c r="C192" s="2" t="s">
        <v>1238</v>
      </c>
      <c r="D192" s="2" t="s">
        <v>1090</v>
      </c>
      <c r="E192" s="2" t="s">
        <v>29</v>
      </c>
      <c r="F192" s="2" t="s">
        <v>1239</v>
      </c>
      <c r="G192" s="2" t="s">
        <v>1240</v>
      </c>
      <c r="H192" s="2" t="s">
        <v>1241</v>
      </c>
      <c r="I192" s="2" t="s">
        <v>1242</v>
      </c>
      <c r="J192" s="2" t="s">
        <v>1243</v>
      </c>
      <c r="K192" s="2" t="s">
        <v>29</v>
      </c>
      <c r="L192" s="2" t="s">
        <v>26</v>
      </c>
      <c r="M192" s="2"/>
      <c r="N192" s="2"/>
      <c r="O192" s="2" t="s">
        <v>1096</v>
      </c>
    </row>
    <row r="193" spans="1:15" ht="96" customHeight="1">
      <c r="A193" s="2">
        <v>192</v>
      </c>
      <c r="B193" s="2" t="s">
        <v>1244</v>
      </c>
      <c r="C193" s="2" t="s">
        <v>1245</v>
      </c>
      <c r="D193" s="2" t="s">
        <v>1090</v>
      </c>
      <c r="E193" s="2" t="s">
        <v>29</v>
      </c>
      <c r="F193" s="2" t="s">
        <v>1246</v>
      </c>
      <c r="G193" s="2" t="s">
        <v>1247</v>
      </c>
      <c r="H193" s="2" t="s">
        <v>1248</v>
      </c>
      <c r="I193" s="2" t="s">
        <v>1249</v>
      </c>
      <c r="J193" s="2" t="s">
        <v>1250</v>
      </c>
      <c r="K193" s="2" t="s">
        <v>29</v>
      </c>
      <c r="L193" s="2" t="s">
        <v>26</v>
      </c>
      <c r="M193" s="2"/>
      <c r="N193" s="2"/>
      <c r="O193" s="2" t="s">
        <v>1096</v>
      </c>
    </row>
    <row r="194" spans="1:15" ht="96" customHeight="1">
      <c r="A194" s="2">
        <v>193</v>
      </c>
      <c r="B194" s="2" t="s">
        <v>1251</v>
      </c>
      <c r="C194" s="2"/>
      <c r="D194" s="2" t="s">
        <v>1090</v>
      </c>
      <c r="E194" s="2" t="s">
        <v>29</v>
      </c>
      <c r="F194" s="2" t="s">
        <v>1252</v>
      </c>
      <c r="G194" s="2" t="s">
        <v>1253</v>
      </c>
      <c r="H194" s="2" t="s">
        <v>1254</v>
      </c>
      <c r="I194" s="2" t="s">
        <v>1255</v>
      </c>
      <c r="J194" s="2" t="s">
        <v>1256</v>
      </c>
      <c r="K194" s="2" t="s">
        <v>29</v>
      </c>
      <c r="L194" s="2" t="s">
        <v>26</v>
      </c>
      <c r="M194" s="2"/>
      <c r="N194" s="2"/>
      <c r="O194" s="2" t="s">
        <v>1096</v>
      </c>
    </row>
    <row r="195" spans="1:15" ht="96" customHeight="1">
      <c r="A195" s="2">
        <v>194</v>
      </c>
      <c r="B195" s="2" t="s">
        <v>1257</v>
      </c>
      <c r="C195" s="2"/>
      <c r="D195" s="2" t="s">
        <v>1090</v>
      </c>
      <c r="E195" s="2" t="s">
        <v>29</v>
      </c>
      <c r="F195" s="2" t="s">
        <v>1258</v>
      </c>
      <c r="G195" s="2" t="s">
        <v>1259</v>
      </c>
      <c r="H195" s="2" t="s">
        <v>1260</v>
      </c>
      <c r="I195" s="2" t="s">
        <v>1261</v>
      </c>
      <c r="J195" s="2" t="s">
        <v>1262</v>
      </c>
      <c r="K195" s="2" t="s">
        <v>29</v>
      </c>
      <c r="L195" s="2" t="s">
        <v>26</v>
      </c>
      <c r="M195" s="2"/>
      <c r="N195" s="2"/>
      <c r="O195" s="2" t="s">
        <v>1096</v>
      </c>
    </row>
    <row r="196" spans="1:15" ht="96" customHeight="1">
      <c r="A196" s="2">
        <v>195</v>
      </c>
      <c r="B196" s="2" t="s">
        <v>1263</v>
      </c>
      <c r="C196" s="2" t="s">
        <v>1264</v>
      </c>
      <c r="D196" s="2" t="s">
        <v>1090</v>
      </c>
      <c r="E196" s="2" t="s">
        <v>74</v>
      </c>
      <c r="F196" s="2" t="s">
        <v>1265</v>
      </c>
      <c r="G196" s="2" t="s">
        <v>1266</v>
      </c>
      <c r="H196" s="2" t="s">
        <v>1267</v>
      </c>
      <c r="I196" s="2" t="s">
        <v>1268</v>
      </c>
      <c r="J196" s="2" t="s">
        <v>1269</v>
      </c>
      <c r="K196" s="2" t="s">
        <v>27</v>
      </c>
      <c r="L196" s="2" t="s">
        <v>26</v>
      </c>
      <c r="M196" s="2"/>
      <c r="N196" s="2"/>
      <c r="O196" s="2" t="s">
        <v>1096</v>
      </c>
    </row>
    <row r="197" spans="1:15" ht="96" customHeight="1">
      <c r="A197" s="2">
        <v>196</v>
      </c>
      <c r="B197" s="2" t="s">
        <v>1270</v>
      </c>
      <c r="C197" s="2" t="s">
        <v>1271</v>
      </c>
      <c r="D197" s="2" t="s">
        <v>1090</v>
      </c>
      <c r="E197" s="2" t="s">
        <v>29</v>
      </c>
      <c r="F197" s="2" t="s">
        <v>1272</v>
      </c>
      <c r="G197" s="2" t="s">
        <v>1273</v>
      </c>
      <c r="H197" s="2" t="s">
        <v>1274</v>
      </c>
      <c r="I197" s="2" t="s">
        <v>1275</v>
      </c>
      <c r="J197" s="2" t="s">
        <v>1276</v>
      </c>
      <c r="K197" s="2" t="s">
        <v>29</v>
      </c>
      <c r="L197" s="2" t="s">
        <v>26</v>
      </c>
      <c r="M197" s="2"/>
      <c r="N197" s="2"/>
      <c r="O197" s="2" t="s">
        <v>1096</v>
      </c>
    </row>
    <row r="198" spans="1:15" ht="96" customHeight="1">
      <c r="A198" s="2">
        <v>197</v>
      </c>
      <c r="B198" s="2" t="s">
        <v>1277</v>
      </c>
      <c r="C198" s="2"/>
      <c r="D198" s="2" t="s">
        <v>1090</v>
      </c>
      <c r="E198" s="2" t="s">
        <v>29</v>
      </c>
      <c r="F198" s="2" t="s">
        <v>1278</v>
      </c>
      <c r="G198" s="2" t="s">
        <v>1279</v>
      </c>
      <c r="H198" s="2" t="s">
        <v>1280</v>
      </c>
      <c r="I198" s="2" t="s">
        <v>1281</v>
      </c>
      <c r="J198" s="2" t="s">
        <v>1282</v>
      </c>
      <c r="K198" s="2" t="s">
        <v>27</v>
      </c>
      <c r="L198" s="2" t="s">
        <v>26</v>
      </c>
      <c r="M198" s="2"/>
      <c r="N198" s="2"/>
      <c r="O198" s="2" t="s">
        <v>1096</v>
      </c>
    </row>
    <row r="199" spans="1:15" ht="96" customHeight="1">
      <c r="A199" s="2">
        <v>198</v>
      </c>
      <c r="B199" s="2" t="s">
        <v>1283</v>
      </c>
      <c r="C199" s="2"/>
      <c r="D199" s="2" t="s">
        <v>1090</v>
      </c>
      <c r="E199" s="2" t="s">
        <v>29</v>
      </c>
      <c r="F199" s="2" t="s">
        <v>1284</v>
      </c>
      <c r="G199" s="2" t="s">
        <v>1285</v>
      </c>
      <c r="H199" s="2" t="s">
        <v>1286</v>
      </c>
      <c r="I199" s="2" t="s">
        <v>1287</v>
      </c>
      <c r="J199" s="2" t="s">
        <v>1288</v>
      </c>
      <c r="K199" s="2" t="s">
        <v>29</v>
      </c>
      <c r="L199" s="2" t="s">
        <v>26</v>
      </c>
      <c r="M199" s="2"/>
      <c r="N199" s="2"/>
      <c r="O199" s="2" t="s">
        <v>1096</v>
      </c>
    </row>
    <row r="200" spans="1:15" ht="96" customHeight="1">
      <c r="A200" s="2">
        <v>199</v>
      </c>
      <c r="B200" s="2" t="s">
        <v>1289</v>
      </c>
      <c r="C200" s="2"/>
      <c r="D200" s="2" t="s">
        <v>1090</v>
      </c>
      <c r="E200" s="2" t="s">
        <v>29</v>
      </c>
      <c r="F200" s="2" t="s">
        <v>1290</v>
      </c>
      <c r="G200" s="2" t="s">
        <v>1291</v>
      </c>
      <c r="H200" s="2" t="s">
        <v>1292</v>
      </c>
      <c r="I200" s="2" t="s">
        <v>1293</v>
      </c>
      <c r="J200" s="2" t="s">
        <v>1294</v>
      </c>
      <c r="K200" s="2" t="s">
        <v>29</v>
      </c>
      <c r="L200" s="2" t="s">
        <v>26</v>
      </c>
      <c r="M200" s="2"/>
      <c r="N200" s="2"/>
      <c r="O200" s="2" t="s">
        <v>1096</v>
      </c>
    </row>
    <row r="201" spans="1:15" ht="96" customHeight="1">
      <c r="A201" s="2">
        <v>200</v>
      </c>
      <c r="B201" s="2" t="s">
        <v>1295</v>
      </c>
      <c r="C201" s="2" t="s">
        <v>1296</v>
      </c>
      <c r="D201" s="2" t="s">
        <v>1090</v>
      </c>
      <c r="E201" s="2" t="s">
        <v>29</v>
      </c>
      <c r="F201" s="2" t="s">
        <v>1297</v>
      </c>
      <c r="G201" s="2" t="s">
        <v>1298</v>
      </c>
      <c r="H201" s="2" t="s">
        <v>1299</v>
      </c>
      <c r="I201" s="2" t="s">
        <v>1300</v>
      </c>
      <c r="J201" s="2" t="s">
        <v>1301</v>
      </c>
      <c r="K201" s="2" t="s">
        <v>29</v>
      </c>
      <c r="L201" s="2" t="s">
        <v>26</v>
      </c>
      <c r="M201" s="2"/>
      <c r="N201" s="2"/>
      <c r="O201" s="2" t="s">
        <v>1096</v>
      </c>
    </row>
    <row r="202" spans="1:15" ht="96" customHeight="1">
      <c r="A202" s="2">
        <v>201</v>
      </c>
      <c r="B202" s="2" t="s">
        <v>1302</v>
      </c>
      <c r="C202" s="2" t="s">
        <v>1303</v>
      </c>
      <c r="D202" s="2" t="s">
        <v>1090</v>
      </c>
      <c r="E202" s="2" t="s">
        <v>29</v>
      </c>
      <c r="F202" s="2" t="s">
        <v>1304</v>
      </c>
      <c r="G202" s="2" t="s">
        <v>1305</v>
      </c>
      <c r="H202" s="2" t="s">
        <v>1306</v>
      </c>
      <c r="I202" s="2" t="s">
        <v>1307</v>
      </c>
      <c r="J202" s="2" t="s">
        <v>1308</v>
      </c>
      <c r="K202" s="2" t="s">
        <v>29</v>
      </c>
      <c r="L202" s="2" t="s">
        <v>26</v>
      </c>
      <c r="M202" s="2"/>
      <c r="N202" s="2"/>
      <c r="O202" s="2" t="s">
        <v>1096</v>
      </c>
    </row>
    <row r="203" spans="1:15" ht="96" customHeight="1">
      <c r="A203" s="2">
        <v>202</v>
      </c>
      <c r="B203" s="2" t="s">
        <v>1309</v>
      </c>
      <c r="C203" s="2" t="s">
        <v>1310</v>
      </c>
      <c r="D203" s="2" t="s">
        <v>1090</v>
      </c>
      <c r="E203" s="2" t="s">
        <v>29</v>
      </c>
      <c r="F203" s="2" t="s">
        <v>1311</v>
      </c>
      <c r="G203" s="2" t="s">
        <v>1312</v>
      </c>
      <c r="H203" s="2" t="s">
        <v>1313</v>
      </c>
      <c r="I203" s="2" t="s">
        <v>1314</v>
      </c>
      <c r="J203" s="2" t="s">
        <v>1315</v>
      </c>
      <c r="K203" s="2" t="s">
        <v>29</v>
      </c>
      <c r="L203" s="2" t="s">
        <v>26</v>
      </c>
      <c r="M203" s="2"/>
      <c r="N203" s="2"/>
      <c r="O203" s="2" t="s">
        <v>1096</v>
      </c>
    </row>
    <row r="204" spans="1:15" ht="96" customHeight="1">
      <c r="A204" s="2">
        <v>203</v>
      </c>
      <c r="B204" s="2" t="s">
        <v>1316</v>
      </c>
      <c r="C204" s="2" t="s">
        <v>1317</v>
      </c>
      <c r="D204" s="2" t="s">
        <v>1090</v>
      </c>
      <c r="E204" s="2" t="s">
        <v>29</v>
      </c>
      <c r="F204" s="2" t="s">
        <v>1318</v>
      </c>
      <c r="G204" s="2" t="s">
        <v>1319</v>
      </c>
      <c r="H204" s="2" t="s">
        <v>1320</v>
      </c>
      <c r="I204" s="2" t="s">
        <v>1321</v>
      </c>
      <c r="J204" s="2" t="s">
        <v>1322</v>
      </c>
      <c r="K204" s="2" t="s">
        <v>29</v>
      </c>
      <c r="L204" s="2" t="s">
        <v>26</v>
      </c>
      <c r="M204" s="2"/>
      <c r="N204" s="2"/>
      <c r="O204" s="2" t="s">
        <v>1096</v>
      </c>
    </row>
    <row r="205" spans="1:15" ht="96" customHeight="1">
      <c r="A205" s="2">
        <v>204</v>
      </c>
      <c r="B205" s="2" t="s">
        <v>53</v>
      </c>
      <c r="C205" s="2"/>
      <c r="D205" s="2" t="s">
        <v>1323</v>
      </c>
      <c r="E205" s="2" t="s">
        <v>74</v>
      </c>
      <c r="F205" s="2" t="s">
        <v>1324</v>
      </c>
      <c r="G205" s="2" t="s">
        <v>1325</v>
      </c>
      <c r="H205" s="2" t="s">
        <v>1326</v>
      </c>
      <c r="I205" s="2" t="s">
        <v>1327</v>
      </c>
      <c r="J205" s="2" t="s">
        <v>1328</v>
      </c>
      <c r="K205" s="2" t="s">
        <v>27</v>
      </c>
      <c r="L205" s="2" t="s">
        <v>26</v>
      </c>
      <c r="M205" s="2"/>
      <c r="N205" s="2"/>
      <c r="O205" s="2" t="s">
        <v>1329</v>
      </c>
    </row>
    <row r="206" spans="1:15" ht="96" customHeight="1">
      <c r="A206" s="2">
        <v>205</v>
      </c>
      <c r="B206" s="2" t="s">
        <v>1330</v>
      </c>
      <c r="C206" s="2"/>
      <c r="D206" s="2" t="s">
        <v>1323</v>
      </c>
      <c r="E206" s="2" t="s">
        <v>29</v>
      </c>
      <c r="F206" s="2" t="s">
        <v>1331</v>
      </c>
      <c r="G206" s="2" t="s">
        <v>1332</v>
      </c>
      <c r="H206" s="2" t="s">
        <v>1333</v>
      </c>
      <c r="I206" s="2" t="s">
        <v>1334</v>
      </c>
      <c r="J206" s="2" t="s">
        <v>1335</v>
      </c>
      <c r="K206" s="2" t="s">
        <v>27</v>
      </c>
      <c r="L206" s="2" t="s">
        <v>26</v>
      </c>
      <c r="M206" s="2"/>
      <c r="N206" s="2"/>
      <c r="O206" s="2" t="s">
        <v>1329</v>
      </c>
    </row>
    <row r="207" spans="1:15" ht="96" customHeight="1">
      <c r="A207" s="2">
        <v>206</v>
      </c>
      <c r="B207" s="2" t="s">
        <v>1336</v>
      </c>
      <c r="C207" s="2"/>
      <c r="D207" s="2" t="s">
        <v>1323</v>
      </c>
      <c r="E207" s="2" t="s">
        <v>29</v>
      </c>
      <c r="F207" s="2" t="s">
        <v>1337</v>
      </c>
      <c r="G207" s="2" t="s">
        <v>1338</v>
      </c>
      <c r="H207" s="2" t="s">
        <v>1339</v>
      </c>
      <c r="I207" s="2" t="s">
        <v>1340</v>
      </c>
      <c r="J207" s="2" t="s">
        <v>1341</v>
      </c>
      <c r="K207" s="2" t="s">
        <v>27</v>
      </c>
      <c r="L207" s="2" t="s">
        <v>26</v>
      </c>
      <c r="M207" s="2"/>
      <c r="N207" s="2"/>
      <c r="O207" s="2" t="s">
        <v>1329</v>
      </c>
    </row>
    <row r="208" spans="1:15" ht="96" customHeight="1">
      <c r="A208" s="2">
        <v>207</v>
      </c>
      <c r="B208" s="2" t="s">
        <v>1342</v>
      </c>
      <c r="C208" s="2"/>
      <c r="D208" s="2" t="s">
        <v>1323</v>
      </c>
      <c r="E208" s="2" t="s">
        <v>29</v>
      </c>
      <c r="F208" s="2" t="s">
        <v>1343</v>
      </c>
      <c r="G208" s="2" t="s">
        <v>1344</v>
      </c>
      <c r="H208" s="2" t="s">
        <v>1345</v>
      </c>
      <c r="I208" s="2" t="s">
        <v>1346</v>
      </c>
      <c r="J208" s="2" t="s">
        <v>1347</v>
      </c>
      <c r="K208" s="2" t="s">
        <v>27</v>
      </c>
      <c r="L208" s="2" t="s">
        <v>26</v>
      </c>
      <c r="M208" s="2"/>
      <c r="N208" s="2"/>
      <c r="O208" s="2" t="s">
        <v>1329</v>
      </c>
    </row>
    <row r="209" spans="1:15" ht="96" customHeight="1">
      <c r="A209" s="2">
        <v>208</v>
      </c>
      <c r="B209" s="2" t="s">
        <v>1348</v>
      </c>
      <c r="C209" s="2"/>
      <c r="D209" s="2" t="s">
        <v>1323</v>
      </c>
      <c r="E209" s="2" t="s">
        <v>29</v>
      </c>
      <c r="F209" s="2" t="s">
        <v>1349</v>
      </c>
      <c r="G209" s="2" t="s">
        <v>1350</v>
      </c>
      <c r="H209" s="2" t="s">
        <v>1351</v>
      </c>
      <c r="I209" s="2" t="s">
        <v>1352</v>
      </c>
      <c r="J209" s="2" t="s">
        <v>1353</v>
      </c>
      <c r="K209" s="2" t="s">
        <v>27</v>
      </c>
      <c r="L209" s="2" t="s">
        <v>26</v>
      </c>
      <c r="M209" s="2"/>
      <c r="N209" s="2"/>
      <c r="O209" s="2" t="s">
        <v>1329</v>
      </c>
    </row>
    <row r="210" spans="1:15" ht="96" customHeight="1">
      <c r="A210" s="2">
        <v>209</v>
      </c>
      <c r="B210" s="2" t="s">
        <v>1354</v>
      </c>
      <c r="C210" s="2"/>
      <c r="D210" s="2" t="s">
        <v>1323</v>
      </c>
      <c r="E210" s="2" t="s">
        <v>29</v>
      </c>
      <c r="F210" s="2" t="s">
        <v>1355</v>
      </c>
      <c r="G210" s="2" t="s">
        <v>1356</v>
      </c>
      <c r="H210" s="2" t="s">
        <v>1357</v>
      </c>
      <c r="I210" s="2" t="s">
        <v>1358</v>
      </c>
      <c r="J210" s="2" t="s">
        <v>1359</v>
      </c>
      <c r="K210" s="2" t="s">
        <v>27</v>
      </c>
      <c r="L210" s="2" t="s">
        <v>26</v>
      </c>
      <c r="M210" s="2"/>
      <c r="N210" s="2"/>
      <c r="O210" s="2" t="s">
        <v>1329</v>
      </c>
    </row>
    <row r="211" spans="1:15" ht="96" customHeight="1">
      <c r="A211" s="2">
        <v>210</v>
      </c>
      <c r="B211" s="2" t="s">
        <v>1360</v>
      </c>
      <c r="C211" s="2"/>
      <c r="D211" s="2" t="s">
        <v>1323</v>
      </c>
      <c r="E211" s="2" t="s">
        <v>29</v>
      </c>
      <c r="F211" s="2" t="s">
        <v>1361</v>
      </c>
      <c r="G211" s="2" t="s">
        <v>1362</v>
      </c>
      <c r="H211" s="2" t="s">
        <v>1363</v>
      </c>
      <c r="I211" s="2" t="s">
        <v>1364</v>
      </c>
      <c r="J211" s="2" t="s">
        <v>1365</v>
      </c>
      <c r="K211" s="2" t="s">
        <v>27</v>
      </c>
      <c r="L211" s="2" t="s">
        <v>26</v>
      </c>
      <c r="M211" s="2"/>
      <c r="N211" s="2"/>
      <c r="O211" s="2" t="s">
        <v>1329</v>
      </c>
    </row>
    <row r="212" spans="1:15" ht="96" customHeight="1">
      <c r="A212" s="2">
        <v>211</v>
      </c>
      <c r="B212" s="2" t="s">
        <v>1366</v>
      </c>
      <c r="C212" s="2"/>
      <c r="D212" s="2" t="s">
        <v>1323</v>
      </c>
      <c r="E212" s="2" t="s">
        <v>74</v>
      </c>
      <c r="F212" s="2" t="s">
        <v>1367</v>
      </c>
      <c r="G212" s="2" t="s">
        <v>1368</v>
      </c>
      <c r="H212" s="2" t="s">
        <v>1369</v>
      </c>
      <c r="I212" s="2" t="s">
        <v>1370</v>
      </c>
      <c r="J212" s="2" t="s">
        <v>1371</v>
      </c>
      <c r="K212" s="2" t="s">
        <v>27</v>
      </c>
      <c r="L212" s="2" t="s">
        <v>26</v>
      </c>
      <c r="M212" s="2"/>
      <c r="N212" s="2"/>
      <c r="O212" s="2" t="s">
        <v>1329</v>
      </c>
    </row>
    <row r="213" spans="1:15" ht="96" customHeight="1">
      <c r="A213" s="2">
        <v>212</v>
      </c>
      <c r="B213" s="2" t="s">
        <v>1372</v>
      </c>
      <c r="C213" s="2"/>
      <c r="D213" s="2" t="s">
        <v>1323</v>
      </c>
      <c r="E213" s="2" t="s">
        <v>74</v>
      </c>
      <c r="F213" s="2" t="s">
        <v>1373</v>
      </c>
      <c r="G213" s="2" t="s">
        <v>1374</v>
      </c>
      <c r="H213" s="2" t="s">
        <v>1375</v>
      </c>
      <c r="I213" s="2" t="s">
        <v>1376</v>
      </c>
      <c r="J213" s="2" t="s">
        <v>1377</v>
      </c>
      <c r="K213" s="2" t="s">
        <v>27</v>
      </c>
      <c r="L213" s="2" t="s">
        <v>26</v>
      </c>
      <c r="M213" s="2"/>
      <c r="N213" s="2"/>
      <c r="O213" s="2" t="s">
        <v>1329</v>
      </c>
    </row>
    <row r="214" spans="1:15" ht="96" customHeight="1">
      <c r="A214" s="2">
        <v>213</v>
      </c>
      <c r="B214" s="2" t="s">
        <v>1378</v>
      </c>
      <c r="C214" s="2" t="s">
        <v>1379</v>
      </c>
      <c r="D214" s="2" t="s">
        <v>1323</v>
      </c>
      <c r="E214" s="2" t="s">
        <v>29</v>
      </c>
      <c r="F214" s="2" t="s">
        <v>1380</v>
      </c>
      <c r="G214" s="2" t="s">
        <v>1381</v>
      </c>
      <c r="H214" s="2" t="s">
        <v>1382</v>
      </c>
      <c r="I214" s="2" t="s">
        <v>1383</v>
      </c>
      <c r="J214" s="2" t="s">
        <v>1384</v>
      </c>
      <c r="K214" s="2" t="s">
        <v>27</v>
      </c>
      <c r="L214" s="2" t="s">
        <v>26</v>
      </c>
      <c r="M214" s="2"/>
      <c r="N214" s="2"/>
      <c r="O214" s="2" t="s">
        <v>1329</v>
      </c>
    </row>
    <row r="215" spans="1:15" ht="96" customHeight="1">
      <c r="A215" s="2">
        <v>214</v>
      </c>
      <c r="B215" s="2" t="s">
        <v>1385</v>
      </c>
      <c r="C215" s="2"/>
      <c r="D215" s="2" t="s">
        <v>1323</v>
      </c>
      <c r="E215" s="2" t="s">
        <v>74</v>
      </c>
      <c r="F215" s="2" t="s">
        <v>1386</v>
      </c>
      <c r="G215" s="2" t="s">
        <v>1387</v>
      </c>
      <c r="H215" s="2" t="s">
        <v>1388</v>
      </c>
      <c r="I215" s="2" t="s">
        <v>1389</v>
      </c>
      <c r="J215" s="2" t="s">
        <v>1390</v>
      </c>
      <c r="K215" s="2" t="s">
        <v>29</v>
      </c>
      <c r="L215" s="2" t="s">
        <v>26</v>
      </c>
      <c r="M215" s="2"/>
      <c r="N215" s="2"/>
      <c r="O215" s="2" t="s">
        <v>1329</v>
      </c>
    </row>
    <row r="216" spans="1:15" ht="96" customHeight="1">
      <c r="A216" s="2">
        <v>215</v>
      </c>
      <c r="B216" s="2" t="s">
        <v>1391</v>
      </c>
      <c r="C216" s="2"/>
      <c r="D216" s="2" t="s">
        <v>1323</v>
      </c>
      <c r="E216" s="2" t="s">
        <v>29</v>
      </c>
      <c r="F216" s="2" t="s">
        <v>1392</v>
      </c>
      <c r="G216" s="2" t="s">
        <v>1393</v>
      </c>
      <c r="H216" s="2" t="s">
        <v>1394</v>
      </c>
      <c r="I216" s="2" t="s">
        <v>1395</v>
      </c>
      <c r="J216" s="2" t="s">
        <v>1396</v>
      </c>
      <c r="K216" s="2" t="s">
        <v>29</v>
      </c>
      <c r="L216" s="2" t="s">
        <v>26</v>
      </c>
      <c r="M216" s="2"/>
      <c r="N216" s="2"/>
      <c r="O216" s="2" t="s">
        <v>1329</v>
      </c>
    </row>
    <row r="217" spans="1:15" ht="96" customHeight="1">
      <c r="A217" s="2">
        <v>216</v>
      </c>
      <c r="B217" s="2" t="s">
        <v>1397</v>
      </c>
      <c r="C217" s="2"/>
      <c r="D217" s="2" t="s">
        <v>1323</v>
      </c>
      <c r="E217" s="2" t="s">
        <v>74</v>
      </c>
      <c r="F217" s="2" t="s">
        <v>1398</v>
      </c>
      <c r="G217" s="2" t="s">
        <v>1399</v>
      </c>
      <c r="H217" s="2" t="s">
        <v>1400</v>
      </c>
      <c r="I217" s="2" t="s">
        <v>1401</v>
      </c>
      <c r="J217" s="2" t="s">
        <v>1402</v>
      </c>
      <c r="K217" s="2" t="s">
        <v>27</v>
      </c>
      <c r="L217" s="2" t="s">
        <v>26</v>
      </c>
      <c r="M217" s="2"/>
      <c r="N217" s="2"/>
      <c r="O217" s="2" t="s">
        <v>1329</v>
      </c>
    </row>
    <row r="218" spans="1:15" ht="96" customHeight="1">
      <c r="A218" s="2">
        <v>217</v>
      </c>
      <c r="B218" s="2" t="s">
        <v>1403</v>
      </c>
      <c r="C218" s="2"/>
      <c r="D218" s="2" t="s">
        <v>1323</v>
      </c>
      <c r="E218" s="2" t="s">
        <v>29</v>
      </c>
      <c r="F218" s="2" t="s">
        <v>1404</v>
      </c>
      <c r="G218" s="2" t="s">
        <v>1405</v>
      </c>
      <c r="H218" s="2" t="s">
        <v>1406</v>
      </c>
      <c r="I218" s="2" t="s">
        <v>1407</v>
      </c>
      <c r="J218" s="2" t="s">
        <v>1408</v>
      </c>
      <c r="K218" s="2" t="s">
        <v>29</v>
      </c>
      <c r="L218" s="2" t="s">
        <v>26</v>
      </c>
      <c r="M218" s="2"/>
      <c r="N218" s="2"/>
      <c r="O218" s="2" t="s">
        <v>1329</v>
      </c>
    </row>
    <row r="219" spans="1:15" ht="96" customHeight="1">
      <c r="A219" s="2">
        <v>218</v>
      </c>
      <c r="B219" s="2" t="s">
        <v>1409</v>
      </c>
      <c r="C219" s="2"/>
      <c r="D219" s="2" t="s">
        <v>1323</v>
      </c>
      <c r="E219" s="2" t="s">
        <v>29</v>
      </c>
      <c r="F219" s="2" t="s">
        <v>1410</v>
      </c>
      <c r="G219" s="2" t="s">
        <v>1411</v>
      </c>
      <c r="H219" s="2" t="s">
        <v>1412</v>
      </c>
      <c r="I219" s="2" t="s">
        <v>1413</v>
      </c>
      <c r="J219" s="2" t="s">
        <v>1414</v>
      </c>
      <c r="K219" s="2" t="s">
        <v>29</v>
      </c>
      <c r="L219" s="2" t="s">
        <v>26</v>
      </c>
      <c r="M219" s="2"/>
      <c r="N219" s="2"/>
      <c r="O219" s="2" t="s">
        <v>1329</v>
      </c>
    </row>
    <row r="220" spans="1:15" ht="96" customHeight="1">
      <c r="A220" s="2">
        <v>219</v>
      </c>
      <c r="B220" s="2" t="s">
        <v>1415</v>
      </c>
      <c r="C220" s="2"/>
      <c r="D220" s="2" t="s">
        <v>1323</v>
      </c>
      <c r="E220" s="2" t="s">
        <v>29</v>
      </c>
      <c r="F220" s="2" t="s">
        <v>1416</v>
      </c>
      <c r="G220" s="2" t="s">
        <v>1417</v>
      </c>
      <c r="H220" s="2" t="s">
        <v>1418</v>
      </c>
      <c r="I220" s="2" t="s">
        <v>1419</v>
      </c>
      <c r="J220" s="2" t="s">
        <v>1420</v>
      </c>
      <c r="K220" s="2" t="s">
        <v>29</v>
      </c>
      <c r="L220" s="2" t="s">
        <v>26</v>
      </c>
      <c r="M220" s="2"/>
      <c r="N220" s="2"/>
      <c r="O220" s="2" t="s">
        <v>1329</v>
      </c>
    </row>
    <row r="221" spans="1:15" ht="96" customHeight="1">
      <c r="A221" s="2">
        <v>220</v>
      </c>
      <c r="B221" s="2" t="s">
        <v>54</v>
      </c>
      <c r="C221" s="2" t="s">
        <v>1421</v>
      </c>
      <c r="D221" s="2" t="s">
        <v>1323</v>
      </c>
      <c r="E221" s="2" t="s">
        <v>29</v>
      </c>
      <c r="F221" s="2" t="s">
        <v>1422</v>
      </c>
      <c r="G221" s="2" t="s">
        <v>1423</v>
      </c>
      <c r="H221" s="2" t="s">
        <v>1424</v>
      </c>
      <c r="I221" s="2" t="s">
        <v>1425</v>
      </c>
      <c r="J221" s="2" t="s">
        <v>1426</v>
      </c>
      <c r="K221" s="2" t="s">
        <v>27</v>
      </c>
      <c r="L221" s="2" t="s">
        <v>26</v>
      </c>
      <c r="M221" s="2"/>
      <c r="N221" s="2"/>
      <c r="O221" s="2" t="s">
        <v>1329</v>
      </c>
    </row>
    <row r="222" spans="1:15" ht="96" customHeight="1">
      <c r="A222" s="2">
        <v>221</v>
      </c>
      <c r="B222" s="2" t="s">
        <v>1427</v>
      </c>
      <c r="C222" s="2"/>
      <c r="D222" s="2" t="s">
        <v>1323</v>
      </c>
      <c r="E222" s="2" t="s">
        <v>74</v>
      </c>
      <c r="F222" s="2" t="s">
        <v>1428</v>
      </c>
      <c r="G222" s="2" t="s">
        <v>1429</v>
      </c>
      <c r="H222" s="2" t="s">
        <v>1430</v>
      </c>
      <c r="I222" s="2" t="s">
        <v>1431</v>
      </c>
      <c r="J222" s="2" t="s">
        <v>1432</v>
      </c>
      <c r="K222" s="2" t="s">
        <v>27</v>
      </c>
      <c r="L222" s="2" t="s">
        <v>26</v>
      </c>
      <c r="M222" s="2"/>
      <c r="N222" s="2"/>
      <c r="O222" s="2" t="s">
        <v>1329</v>
      </c>
    </row>
    <row r="223" spans="1:15" ht="96" customHeight="1">
      <c r="A223" s="2">
        <v>222</v>
      </c>
      <c r="B223" s="2" t="s">
        <v>1433</v>
      </c>
      <c r="C223" s="2" t="s">
        <v>1434</v>
      </c>
      <c r="D223" s="2" t="s">
        <v>1323</v>
      </c>
      <c r="E223" s="2" t="s">
        <v>29</v>
      </c>
      <c r="F223" s="2" t="s">
        <v>1435</v>
      </c>
      <c r="G223" s="2" t="s">
        <v>1436</v>
      </c>
      <c r="H223" s="2" t="s">
        <v>1437</v>
      </c>
      <c r="I223" s="2" t="s">
        <v>1438</v>
      </c>
      <c r="J223" s="2" t="s">
        <v>1439</v>
      </c>
      <c r="K223" s="2" t="s">
        <v>27</v>
      </c>
      <c r="L223" s="2" t="s">
        <v>26</v>
      </c>
      <c r="M223" s="2"/>
      <c r="N223" s="2"/>
      <c r="O223" s="2" t="s">
        <v>1329</v>
      </c>
    </row>
    <row r="224" spans="1:15" ht="96" customHeight="1">
      <c r="A224" s="2">
        <v>223</v>
      </c>
      <c r="B224" s="2" t="s">
        <v>1440</v>
      </c>
      <c r="C224" s="2" t="s">
        <v>1441</v>
      </c>
      <c r="D224" s="2" t="s">
        <v>1323</v>
      </c>
      <c r="E224" s="2" t="s">
        <v>29</v>
      </c>
      <c r="F224" s="2" t="s">
        <v>1442</v>
      </c>
      <c r="G224" s="2" t="s">
        <v>1443</v>
      </c>
      <c r="H224" s="2" t="s">
        <v>1444</v>
      </c>
      <c r="I224" s="2" t="s">
        <v>1445</v>
      </c>
      <c r="J224" s="2" t="s">
        <v>1446</v>
      </c>
      <c r="K224" s="2" t="s">
        <v>27</v>
      </c>
      <c r="L224" s="2" t="s">
        <v>26</v>
      </c>
      <c r="M224" s="2"/>
      <c r="N224" s="2"/>
      <c r="O224" s="2" t="s">
        <v>1329</v>
      </c>
    </row>
    <row r="225" spans="1:15" ht="96" customHeight="1">
      <c r="A225" s="2">
        <v>224</v>
      </c>
      <c r="B225" s="2" t="s">
        <v>1447</v>
      </c>
      <c r="C225" s="2" t="s">
        <v>1448</v>
      </c>
      <c r="D225" s="2" t="s">
        <v>1323</v>
      </c>
      <c r="E225" s="2" t="s">
        <v>29</v>
      </c>
      <c r="F225" s="2" t="s">
        <v>1449</v>
      </c>
      <c r="G225" s="2" t="s">
        <v>1450</v>
      </c>
      <c r="H225" s="2" t="s">
        <v>1451</v>
      </c>
      <c r="I225" s="2" t="s">
        <v>1452</v>
      </c>
      <c r="J225" s="2" t="s">
        <v>1453</v>
      </c>
      <c r="K225" s="2" t="s">
        <v>27</v>
      </c>
      <c r="L225" s="2" t="s">
        <v>26</v>
      </c>
      <c r="M225" s="2"/>
      <c r="N225" s="2"/>
      <c r="O225" s="2" t="s">
        <v>1329</v>
      </c>
    </row>
    <row r="226" spans="1:15" ht="96" customHeight="1">
      <c r="A226" s="2">
        <v>225</v>
      </c>
      <c r="B226" s="2" t="s">
        <v>1454</v>
      </c>
      <c r="C226" s="2"/>
      <c r="D226" s="2" t="s">
        <v>1323</v>
      </c>
      <c r="E226" s="2" t="s">
        <v>29</v>
      </c>
      <c r="F226" s="2" t="s">
        <v>1455</v>
      </c>
      <c r="G226" s="2" t="s">
        <v>1456</v>
      </c>
      <c r="H226" s="2" t="s">
        <v>1457</v>
      </c>
      <c r="I226" s="2" t="s">
        <v>1458</v>
      </c>
      <c r="J226" s="2" t="s">
        <v>1459</v>
      </c>
      <c r="K226" s="2" t="s">
        <v>29</v>
      </c>
      <c r="L226" s="2" t="s">
        <v>26</v>
      </c>
      <c r="M226" s="2"/>
      <c r="N226" s="2"/>
      <c r="O226" s="2" t="s">
        <v>1329</v>
      </c>
    </row>
    <row r="227" spans="1:15" ht="96" customHeight="1">
      <c r="A227" s="2">
        <v>226</v>
      </c>
      <c r="B227" s="2" t="s">
        <v>1460</v>
      </c>
      <c r="C227" s="2" t="s">
        <v>1461</v>
      </c>
      <c r="D227" s="2" t="s">
        <v>1323</v>
      </c>
      <c r="E227" s="2" t="s">
        <v>29</v>
      </c>
      <c r="F227" s="2" t="s">
        <v>1462</v>
      </c>
      <c r="G227" s="2" t="s">
        <v>1463</v>
      </c>
      <c r="H227" s="2" t="s">
        <v>1464</v>
      </c>
      <c r="I227" s="2" t="s">
        <v>1465</v>
      </c>
      <c r="J227" s="2" t="s">
        <v>1466</v>
      </c>
      <c r="K227" s="2" t="s">
        <v>29</v>
      </c>
      <c r="L227" s="2" t="s">
        <v>26</v>
      </c>
      <c r="M227" s="2"/>
      <c r="N227" s="2"/>
      <c r="O227" s="2" t="s">
        <v>1329</v>
      </c>
    </row>
    <row r="228" spans="1:15" ht="96" customHeight="1">
      <c r="A228" s="2">
        <v>227</v>
      </c>
      <c r="B228" s="2" t="s">
        <v>1467</v>
      </c>
      <c r="C228" s="2"/>
      <c r="D228" s="2" t="s">
        <v>1323</v>
      </c>
      <c r="E228" s="2" t="s">
        <v>29</v>
      </c>
      <c r="F228" s="2" t="s">
        <v>1468</v>
      </c>
      <c r="G228" s="2" t="s">
        <v>1469</v>
      </c>
      <c r="H228" s="2" t="s">
        <v>1470</v>
      </c>
      <c r="I228" s="2" t="s">
        <v>1471</v>
      </c>
      <c r="J228" s="2" t="s">
        <v>1472</v>
      </c>
      <c r="K228" s="2" t="s">
        <v>27</v>
      </c>
      <c r="L228" s="2" t="s">
        <v>26</v>
      </c>
      <c r="M228" s="2"/>
      <c r="N228" s="2"/>
      <c r="O228" s="2" t="s">
        <v>1329</v>
      </c>
    </row>
    <row r="229" spans="1:15" ht="96" customHeight="1">
      <c r="A229" s="2">
        <v>228</v>
      </c>
      <c r="B229" s="2" t="s">
        <v>1473</v>
      </c>
      <c r="C229" s="2"/>
      <c r="D229" s="2" t="s">
        <v>1323</v>
      </c>
      <c r="E229" s="2" t="s">
        <v>29</v>
      </c>
      <c r="F229" s="2" t="s">
        <v>1474</v>
      </c>
      <c r="G229" s="2" t="s">
        <v>1475</v>
      </c>
      <c r="H229" s="2" t="s">
        <v>1476</v>
      </c>
      <c r="I229" s="2" t="s">
        <v>1477</v>
      </c>
      <c r="J229" s="2" t="s">
        <v>1478</v>
      </c>
      <c r="K229" s="2" t="s">
        <v>27</v>
      </c>
      <c r="L229" s="2" t="s">
        <v>26</v>
      </c>
      <c r="M229" s="2"/>
      <c r="N229" s="2"/>
      <c r="O229" s="2" t="s">
        <v>1329</v>
      </c>
    </row>
    <row r="230" spans="1:15" ht="96" customHeight="1">
      <c r="A230" s="2">
        <v>229</v>
      </c>
      <c r="B230" s="2" t="s">
        <v>1479</v>
      </c>
      <c r="C230" s="2"/>
      <c r="D230" s="2" t="s">
        <v>1323</v>
      </c>
      <c r="E230" s="2" t="s">
        <v>29</v>
      </c>
      <c r="F230" s="2" t="s">
        <v>1480</v>
      </c>
      <c r="G230" s="2" t="s">
        <v>1481</v>
      </c>
      <c r="H230" s="2" t="s">
        <v>1482</v>
      </c>
      <c r="I230" s="2" t="s">
        <v>1483</v>
      </c>
      <c r="J230" s="2" t="s">
        <v>1484</v>
      </c>
      <c r="K230" s="2" t="s">
        <v>29</v>
      </c>
      <c r="L230" s="2" t="s">
        <v>26</v>
      </c>
      <c r="M230" s="2"/>
      <c r="N230" s="2"/>
      <c r="O230" s="2" t="s">
        <v>1329</v>
      </c>
    </row>
    <row r="231" spans="1:15" ht="96" customHeight="1">
      <c r="A231" s="2">
        <v>230</v>
      </c>
      <c r="B231" s="2" t="s">
        <v>1485</v>
      </c>
      <c r="C231" s="2" t="s">
        <v>1486</v>
      </c>
      <c r="D231" s="2" t="s">
        <v>1323</v>
      </c>
      <c r="E231" s="2" t="s">
        <v>29</v>
      </c>
      <c r="F231" s="2" t="s">
        <v>1487</v>
      </c>
      <c r="G231" s="2" t="s">
        <v>1488</v>
      </c>
      <c r="H231" s="2" t="s">
        <v>1489</v>
      </c>
      <c r="I231" s="2" t="s">
        <v>1490</v>
      </c>
      <c r="J231" s="2" t="s">
        <v>1491</v>
      </c>
      <c r="K231" s="2" t="s">
        <v>27</v>
      </c>
      <c r="L231" s="2" t="s">
        <v>26</v>
      </c>
      <c r="M231" s="2"/>
      <c r="N231" s="2"/>
      <c r="O231" s="2" t="s">
        <v>1329</v>
      </c>
    </row>
    <row r="232" spans="1:15" ht="96" customHeight="1">
      <c r="A232" s="2">
        <v>231</v>
      </c>
      <c r="B232" s="2" t="s">
        <v>1492</v>
      </c>
      <c r="C232" s="2" t="s">
        <v>1493</v>
      </c>
      <c r="D232" s="2" t="s">
        <v>1323</v>
      </c>
      <c r="E232" s="2" t="s">
        <v>29</v>
      </c>
      <c r="F232" s="2" t="s">
        <v>1494</v>
      </c>
      <c r="G232" s="2" t="s">
        <v>1495</v>
      </c>
      <c r="H232" s="2" t="s">
        <v>1496</v>
      </c>
      <c r="I232" s="2" t="s">
        <v>1497</v>
      </c>
      <c r="J232" s="2" t="s">
        <v>1498</v>
      </c>
      <c r="K232" s="2" t="s">
        <v>27</v>
      </c>
      <c r="L232" s="2" t="s">
        <v>26</v>
      </c>
      <c r="M232" s="2"/>
      <c r="N232" s="2"/>
      <c r="O232" s="2" t="s">
        <v>1329</v>
      </c>
    </row>
    <row r="233" spans="1:15" ht="96" customHeight="1">
      <c r="A233" s="2">
        <v>232</v>
      </c>
      <c r="B233" s="2" t="s">
        <v>1499</v>
      </c>
      <c r="C233" s="2"/>
      <c r="D233" s="2" t="s">
        <v>1323</v>
      </c>
      <c r="E233" s="2" t="s">
        <v>29</v>
      </c>
      <c r="F233" s="2" t="s">
        <v>1500</v>
      </c>
      <c r="G233" s="2" t="s">
        <v>1501</v>
      </c>
      <c r="H233" s="2" t="s">
        <v>1502</v>
      </c>
      <c r="I233" s="2" t="s">
        <v>1503</v>
      </c>
      <c r="J233" s="2" t="s">
        <v>1504</v>
      </c>
      <c r="K233" s="2" t="s">
        <v>27</v>
      </c>
      <c r="L233" s="2" t="s">
        <v>26</v>
      </c>
      <c r="M233" s="2"/>
      <c r="N233" s="2"/>
      <c r="O233" s="2" t="s">
        <v>1329</v>
      </c>
    </row>
    <row r="234" spans="1:15" ht="96" customHeight="1">
      <c r="A234" s="2">
        <v>233</v>
      </c>
      <c r="B234" s="2" t="s">
        <v>1505</v>
      </c>
      <c r="C234" s="2"/>
      <c r="D234" s="2" t="s">
        <v>1323</v>
      </c>
      <c r="E234" s="2" t="s">
        <v>29</v>
      </c>
      <c r="F234" s="2" t="s">
        <v>1506</v>
      </c>
      <c r="G234" s="2" t="s">
        <v>1507</v>
      </c>
      <c r="H234" s="2" t="s">
        <v>1508</v>
      </c>
      <c r="I234" s="2" t="s">
        <v>1509</v>
      </c>
      <c r="J234" s="2" t="s">
        <v>1510</v>
      </c>
      <c r="K234" s="2" t="s">
        <v>27</v>
      </c>
      <c r="L234" s="2" t="s">
        <v>26</v>
      </c>
      <c r="M234" s="2"/>
      <c r="N234" s="2"/>
      <c r="O234" s="2" t="s">
        <v>1329</v>
      </c>
    </row>
    <row r="235" spans="1:15" ht="96" customHeight="1">
      <c r="A235" s="2">
        <v>234</v>
      </c>
      <c r="B235" s="2" t="s">
        <v>1511</v>
      </c>
      <c r="C235" s="2"/>
      <c r="D235" s="2" t="s">
        <v>1323</v>
      </c>
      <c r="E235" s="2" t="s">
        <v>29</v>
      </c>
      <c r="F235" s="2" t="s">
        <v>1512</v>
      </c>
      <c r="G235" s="2" t="s">
        <v>1513</v>
      </c>
      <c r="H235" s="2" t="s">
        <v>1514</v>
      </c>
      <c r="I235" s="2" t="s">
        <v>1515</v>
      </c>
      <c r="J235" s="2" t="s">
        <v>1516</v>
      </c>
      <c r="K235" s="2" t="s">
        <v>27</v>
      </c>
      <c r="L235" s="2" t="s">
        <v>26</v>
      </c>
      <c r="M235" s="2"/>
      <c r="N235" s="2"/>
      <c r="O235" s="2" t="s">
        <v>1329</v>
      </c>
    </row>
    <row r="236" spans="1:15" ht="96" customHeight="1">
      <c r="A236" s="2">
        <v>235</v>
      </c>
      <c r="B236" s="2" t="s">
        <v>1517</v>
      </c>
      <c r="C236" s="2"/>
      <c r="D236" s="2" t="s">
        <v>1323</v>
      </c>
      <c r="E236" s="2" t="s">
        <v>29</v>
      </c>
      <c r="F236" s="2" t="s">
        <v>1518</v>
      </c>
      <c r="G236" s="2" t="s">
        <v>1519</v>
      </c>
      <c r="H236" s="2" t="s">
        <v>1520</v>
      </c>
      <c r="I236" s="2" t="s">
        <v>1521</v>
      </c>
      <c r="J236" s="2" t="s">
        <v>1522</v>
      </c>
      <c r="K236" s="2" t="s">
        <v>27</v>
      </c>
      <c r="L236" s="2" t="s">
        <v>26</v>
      </c>
      <c r="M236" s="2"/>
      <c r="N236" s="2"/>
      <c r="O236" s="2" t="s">
        <v>1329</v>
      </c>
    </row>
    <row r="237" spans="1:15" ht="96" customHeight="1">
      <c r="A237" s="2">
        <v>236</v>
      </c>
      <c r="B237" s="2" t="s">
        <v>1523</v>
      </c>
      <c r="C237" s="2"/>
      <c r="D237" s="2" t="s">
        <v>1323</v>
      </c>
      <c r="E237" s="2" t="s">
        <v>74</v>
      </c>
      <c r="F237" s="2" t="s">
        <v>1524</v>
      </c>
      <c r="G237" s="2" t="s">
        <v>1525</v>
      </c>
      <c r="H237" s="2" t="s">
        <v>1526</v>
      </c>
      <c r="I237" s="2" t="s">
        <v>1527</v>
      </c>
      <c r="J237" s="2" t="s">
        <v>1528</v>
      </c>
      <c r="K237" s="2" t="s">
        <v>27</v>
      </c>
      <c r="L237" s="2" t="s">
        <v>26</v>
      </c>
      <c r="M237" s="2"/>
      <c r="N237" s="2"/>
      <c r="O237" s="2" t="s">
        <v>1329</v>
      </c>
    </row>
    <row r="238" spans="1:15" ht="96" customHeight="1">
      <c r="A238" s="2">
        <v>237</v>
      </c>
      <c r="B238" s="2" t="s">
        <v>1529</v>
      </c>
      <c r="C238" s="2"/>
      <c r="D238" s="2" t="s">
        <v>1323</v>
      </c>
      <c r="E238" s="2" t="s">
        <v>74</v>
      </c>
      <c r="F238" s="2" t="s">
        <v>1530</v>
      </c>
      <c r="G238" s="2" t="s">
        <v>1531</v>
      </c>
      <c r="H238" s="2" t="s">
        <v>1532</v>
      </c>
      <c r="I238" s="2" t="s">
        <v>1533</v>
      </c>
      <c r="J238" s="2" t="s">
        <v>1534</v>
      </c>
      <c r="K238" s="2" t="s">
        <v>27</v>
      </c>
      <c r="L238" s="2" t="s">
        <v>26</v>
      </c>
      <c r="M238" s="2"/>
      <c r="N238" s="2"/>
      <c r="O238" s="2" t="s">
        <v>1329</v>
      </c>
    </row>
    <row r="239" spans="1:15" ht="96" customHeight="1">
      <c r="A239" s="2">
        <v>238</v>
      </c>
      <c r="B239" s="2" t="s">
        <v>1535</v>
      </c>
      <c r="C239" s="2"/>
      <c r="D239" s="2" t="s">
        <v>1323</v>
      </c>
      <c r="E239" s="2" t="s">
        <v>29</v>
      </c>
      <c r="F239" s="2" t="s">
        <v>1536</v>
      </c>
      <c r="G239" s="2" t="s">
        <v>1537</v>
      </c>
      <c r="H239" s="2" t="s">
        <v>1538</v>
      </c>
      <c r="I239" s="2" t="s">
        <v>1539</v>
      </c>
      <c r="J239" s="2" t="s">
        <v>1540</v>
      </c>
      <c r="K239" s="2" t="s">
        <v>27</v>
      </c>
      <c r="L239" s="2" t="s">
        <v>26</v>
      </c>
      <c r="M239" s="2"/>
      <c r="N239" s="2"/>
      <c r="O239" s="2" t="s">
        <v>1329</v>
      </c>
    </row>
    <row r="240" spans="1:15" ht="96" customHeight="1">
      <c r="A240" s="2">
        <v>239</v>
      </c>
      <c r="B240" s="2" t="s">
        <v>1541</v>
      </c>
      <c r="C240" s="2"/>
      <c r="D240" s="2" t="s">
        <v>1323</v>
      </c>
      <c r="E240" s="2" t="s">
        <v>29</v>
      </c>
      <c r="F240" s="2" t="s">
        <v>1542</v>
      </c>
      <c r="G240" s="2" t="s">
        <v>1543</v>
      </c>
      <c r="H240" s="2" t="s">
        <v>1544</v>
      </c>
      <c r="I240" s="2" t="s">
        <v>1545</v>
      </c>
      <c r="J240" s="2" t="s">
        <v>1546</v>
      </c>
      <c r="K240" s="2" t="s">
        <v>29</v>
      </c>
      <c r="L240" s="2" t="s">
        <v>26</v>
      </c>
      <c r="M240" s="2"/>
      <c r="N240" s="2"/>
      <c r="O240" s="2" t="s">
        <v>1329</v>
      </c>
    </row>
    <row r="241" spans="1:15" ht="96" customHeight="1">
      <c r="A241" s="2">
        <v>240</v>
      </c>
      <c r="B241" s="2" t="s">
        <v>1547</v>
      </c>
      <c r="C241" s="2"/>
      <c r="D241" s="2" t="s">
        <v>1323</v>
      </c>
      <c r="E241" s="2" t="s">
        <v>74</v>
      </c>
      <c r="F241" s="2" t="s">
        <v>1548</v>
      </c>
      <c r="G241" s="2" t="s">
        <v>1549</v>
      </c>
      <c r="H241" s="2" t="s">
        <v>1550</v>
      </c>
      <c r="I241" s="2" t="s">
        <v>1551</v>
      </c>
      <c r="J241" s="2" t="s">
        <v>1552</v>
      </c>
      <c r="K241" s="2" t="s">
        <v>27</v>
      </c>
      <c r="L241" s="2" t="s">
        <v>26</v>
      </c>
      <c r="M241" s="2"/>
      <c r="N241" s="2"/>
      <c r="O241" s="2" t="s">
        <v>1329</v>
      </c>
    </row>
    <row r="242" spans="1:15" ht="96" customHeight="1">
      <c r="A242" s="2">
        <v>241</v>
      </c>
      <c r="B242" s="2" t="s">
        <v>1553</v>
      </c>
      <c r="C242" s="2" t="s">
        <v>1554</v>
      </c>
      <c r="D242" s="2" t="s">
        <v>1323</v>
      </c>
      <c r="E242" s="2" t="s">
        <v>29</v>
      </c>
      <c r="F242" s="2" t="s">
        <v>1555</v>
      </c>
      <c r="G242" s="2" t="s">
        <v>1556</v>
      </c>
      <c r="H242" s="2" t="s">
        <v>1557</v>
      </c>
      <c r="I242" s="2" t="s">
        <v>1558</v>
      </c>
      <c r="J242" s="2" t="s">
        <v>1559</v>
      </c>
      <c r="K242" s="2" t="s">
        <v>29</v>
      </c>
      <c r="L242" s="2" t="s">
        <v>26</v>
      </c>
      <c r="M242" s="2"/>
      <c r="N242" s="2"/>
      <c r="O242" s="2" t="s">
        <v>1329</v>
      </c>
    </row>
    <row r="243" spans="1:15" ht="96" customHeight="1">
      <c r="A243" s="2">
        <v>242</v>
      </c>
      <c r="B243" s="2" t="s">
        <v>1560</v>
      </c>
      <c r="C243" s="2" t="s">
        <v>1561</v>
      </c>
      <c r="D243" s="2" t="s">
        <v>1323</v>
      </c>
      <c r="E243" s="2" t="s">
        <v>29</v>
      </c>
      <c r="F243" s="2" t="s">
        <v>1562</v>
      </c>
      <c r="G243" s="2" t="s">
        <v>1563</v>
      </c>
      <c r="H243" s="2" t="s">
        <v>1564</v>
      </c>
      <c r="I243" s="2" t="s">
        <v>1565</v>
      </c>
      <c r="J243" s="2" t="s">
        <v>1566</v>
      </c>
      <c r="K243" s="2" t="s">
        <v>29</v>
      </c>
      <c r="L243" s="2" t="s">
        <v>26</v>
      </c>
      <c r="M243" s="2"/>
      <c r="N243" s="2"/>
      <c r="O243" s="2" t="s">
        <v>1329</v>
      </c>
    </row>
    <row r="244" spans="1:15" ht="96" customHeight="1">
      <c r="A244" s="2">
        <v>243</v>
      </c>
      <c r="B244" s="2" t="s">
        <v>1567</v>
      </c>
      <c r="C244" s="2"/>
      <c r="D244" s="2" t="s">
        <v>1568</v>
      </c>
      <c r="E244" s="2" t="s">
        <v>74</v>
      </c>
      <c r="F244" s="2" t="s">
        <v>1569</v>
      </c>
      <c r="G244" s="2" t="s">
        <v>1570</v>
      </c>
      <c r="H244" s="2" t="s">
        <v>1571</v>
      </c>
      <c r="I244" s="2" t="s">
        <v>1572</v>
      </c>
      <c r="J244" s="2" t="s">
        <v>1573</v>
      </c>
      <c r="K244" s="2" t="s">
        <v>27</v>
      </c>
      <c r="L244" s="2" t="s">
        <v>26</v>
      </c>
      <c r="M244" s="2"/>
      <c r="N244" s="2"/>
      <c r="O244" s="2" t="s">
        <v>1574</v>
      </c>
    </row>
    <row r="245" spans="1:15" ht="96" customHeight="1">
      <c r="A245" s="2">
        <v>244</v>
      </c>
      <c r="B245" s="2" t="s">
        <v>1575</v>
      </c>
      <c r="C245" s="2"/>
      <c r="D245" s="2" t="s">
        <v>1568</v>
      </c>
      <c r="E245" s="2" t="s">
        <v>74</v>
      </c>
      <c r="F245" s="2" t="s">
        <v>1576</v>
      </c>
      <c r="G245" s="2" t="s">
        <v>1577</v>
      </c>
      <c r="H245" s="2" t="s">
        <v>1578</v>
      </c>
      <c r="I245" s="2" t="s">
        <v>1579</v>
      </c>
      <c r="J245" s="2" t="s">
        <v>1580</v>
      </c>
      <c r="K245" s="2" t="s">
        <v>29</v>
      </c>
      <c r="L245" s="2" t="s">
        <v>26</v>
      </c>
      <c r="M245" s="2"/>
      <c r="N245" s="2"/>
      <c r="O245" s="2" t="s">
        <v>1574</v>
      </c>
    </row>
    <row r="246" spans="1:15" ht="96" customHeight="1">
      <c r="A246" s="2">
        <v>245</v>
      </c>
      <c r="B246" s="2" t="s">
        <v>1581</v>
      </c>
      <c r="C246" s="2"/>
      <c r="D246" s="2" t="s">
        <v>1568</v>
      </c>
      <c r="E246" s="2" t="s">
        <v>29</v>
      </c>
      <c r="F246" s="2" t="s">
        <v>1582</v>
      </c>
      <c r="G246" s="2" t="s">
        <v>1583</v>
      </c>
      <c r="H246" s="2" t="s">
        <v>1584</v>
      </c>
      <c r="I246" s="2" t="s">
        <v>1585</v>
      </c>
      <c r="J246" s="2" t="s">
        <v>1586</v>
      </c>
      <c r="K246" s="2" t="s">
        <v>27</v>
      </c>
      <c r="L246" s="2" t="s">
        <v>26</v>
      </c>
      <c r="M246" s="2"/>
      <c r="N246" s="2"/>
      <c r="O246" s="2" t="s">
        <v>1574</v>
      </c>
    </row>
    <row r="247" spans="1:15" ht="96" customHeight="1">
      <c r="A247" s="2">
        <v>246</v>
      </c>
      <c r="B247" s="2" t="s">
        <v>1587</v>
      </c>
      <c r="C247" s="2"/>
      <c r="D247" s="2" t="s">
        <v>1568</v>
      </c>
      <c r="E247" s="2" t="s">
        <v>29</v>
      </c>
      <c r="F247" s="2" t="s">
        <v>1588</v>
      </c>
      <c r="G247" s="2" t="s">
        <v>1589</v>
      </c>
      <c r="H247" s="2" t="s">
        <v>1590</v>
      </c>
      <c r="I247" s="2" t="s">
        <v>1591</v>
      </c>
      <c r="J247" s="2" t="s">
        <v>1592</v>
      </c>
      <c r="K247" s="2" t="s">
        <v>27</v>
      </c>
      <c r="L247" s="2" t="s">
        <v>26</v>
      </c>
      <c r="M247" s="2"/>
      <c r="N247" s="2"/>
      <c r="O247" s="2" t="s">
        <v>1574</v>
      </c>
    </row>
    <row r="248" spans="1:15" ht="96" customHeight="1">
      <c r="A248" s="2">
        <v>247</v>
      </c>
      <c r="B248" s="2" t="s">
        <v>1593</v>
      </c>
      <c r="C248" s="2"/>
      <c r="D248" s="2" t="s">
        <v>1568</v>
      </c>
      <c r="E248" s="2" t="s">
        <v>29</v>
      </c>
      <c r="F248" s="2" t="s">
        <v>1594</v>
      </c>
      <c r="G248" s="2" t="s">
        <v>1595</v>
      </c>
      <c r="H248" s="2" t="s">
        <v>1596</v>
      </c>
      <c r="I248" s="2" t="s">
        <v>1597</v>
      </c>
      <c r="J248" s="2" t="s">
        <v>1598</v>
      </c>
      <c r="K248" s="2" t="s">
        <v>27</v>
      </c>
      <c r="L248" s="2" t="s">
        <v>26</v>
      </c>
      <c r="M248" s="2"/>
      <c r="N248" s="2"/>
      <c r="O248" s="2" t="s">
        <v>1574</v>
      </c>
    </row>
    <row r="249" spans="1:15" ht="96" customHeight="1">
      <c r="A249" s="2">
        <v>248</v>
      </c>
      <c r="B249" s="2" t="s">
        <v>1599</v>
      </c>
      <c r="C249" s="2"/>
      <c r="D249" s="2" t="s">
        <v>1568</v>
      </c>
      <c r="E249" s="2" t="s">
        <v>29</v>
      </c>
      <c r="F249" s="2" t="s">
        <v>1600</v>
      </c>
      <c r="G249" s="2" t="s">
        <v>1601</v>
      </c>
      <c r="H249" s="2" t="s">
        <v>1602</v>
      </c>
      <c r="I249" s="2" t="s">
        <v>1603</v>
      </c>
      <c r="J249" s="2" t="s">
        <v>1604</v>
      </c>
      <c r="K249" s="2" t="s">
        <v>27</v>
      </c>
      <c r="L249" s="2" t="s">
        <v>26</v>
      </c>
      <c r="M249" s="2"/>
      <c r="N249" s="2"/>
      <c r="O249" s="2" t="s">
        <v>1574</v>
      </c>
    </row>
    <row r="250" spans="1:15" ht="96" customHeight="1">
      <c r="A250" s="2">
        <v>249</v>
      </c>
      <c r="B250" s="2" t="s">
        <v>1605</v>
      </c>
      <c r="C250" s="2"/>
      <c r="D250" s="2" t="s">
        <v>1568</v>
      </c>
      <c r="E250" s="2" t="s">
        <v>29</v>
      </c>
      <c r="F250" s="2" t="s">
        <v>1606</v>
      </c>
      <c r="G250" s="2" t="s">
        <v>1607</v>
      </c>
      <c r="H250" s="2" t="s">
        <v>1608</v>
      </c>
      <c r="I250" s="2" t="s">
        <v>1609</v>
      </c>
      <c r="J250" s="2" t="s">
        <v>1610</v>
      </c>
      <c r="K250" s="2" t="s">
        <v>29</v>
      </c>
      <c r="L250" s="2" t="s">
        <v>26</v>
      </c>
      <c r="M250" s="2"/>
      <c r="N250" s="2"/>
      <c r="O250" s="2" t="s">
        <v>1574</v>
      </c>
    </row>
    <row r="251" spans="1:15" ht="96" customHeight="1">
      <c r="A251" s="2">
        <v>250</v>
      </c>
      <c r="B251" s="2" t="s">
        <v>1611</v>
      </c>
      <c r="C251" s="2" t="s">
        <v>1612</v>
      </c>
      <c r="D251" s="2" t="s">
        <v>1568</v>
      </c>
      <c r="E251" s="2" t="s">
        <v>29</v>
      </c>
      <c r="F251" s="2" t="s">
        <v>1613</v>
      </c>
      <c r="G251" s="2" t="s">
        <v>1614</v>
      </c>
      <c r="H251" s="2" t="s">
        <v>1615</v>
      </c>
      <c r="I251" s="2" t="s">
        <v>1616</v>
      </c>
      <c r="J251" s="2" t="s">
        <v>1617</v>
      </c>
      <c r="K251" s="2" t="s">
        <v>29</v>
      </c>
      <c r="L251" s="2" t="s">
        <v>26</v>
      </c>
      <c r="M251" s="2"/>
      <c r="N251" s="2"/>
      <c r="O251" s="2" t="s">
        <v>1574</v>
      </c>
    </row>
    <row r="252" spans="1:15" ht="96" customHeight="1">
      <c r="A252" s="2">
        <v>251</v>
      </c>
      <c r="B252" s="2" t="s">
        <v>1618</v>
      </c>
      <c r="C252" s="2" t="s">
        <v>1619</v>
      </c>
      <c r="D252" s="2" t="s">
        <v>1568</v>
      </c>
      <c r="E252" s="2" t="s">
        <v>29</v>
      </c>
      <c r="F252" s="2" t="s">
        <v>1620</v>
      </c>
      <c r="G252" s="2" t="s">
        <v>1621</v>
      </c>
      <c r="H252" s="2" t="s">
        <v>1622</v>
      </c>
      <c r="I252" s="2" t="s">
        <v>1623</v>
      </c>
      <c r="J252" s="2" t="s">
        <v>1624</v>
      </c>
      <c r="K252" s="2" t="s">
        <v>27</v>
      </c>
      <c r="L252" s="2" t="s">
        <v>26</v>
      </c>
      <c r="M252" s="2"/>
      <c r="N252" s="2"/>
      <c r="O252" s="2" t="s">
        <v>1574</v>
      </c>
    </row>
    <row r="253" spans="1:15" ht="96" customHeight="1">
      <c r="A253" s="2">
        <v>252</v>
      </c>
      <c r="B253" s="2" t="s">
        <v>1625</v>
      </c>
      <c r="C253" s="2"/>
      <c r="D253" s="2" t="s">
        <v>1568</v>
      </c>
      <c r="E253" s="2" t="s">
        <v>29</v>
      </c>
      <c r="F253" s="2" t="s">
        <v>1626</v>
      </c>
      <c r="G253" s="2" t="s">
        <v>1627</v>
      </c>
      <c r="H253" s="2" t="s">
        <v>1628</v>
      </c>
      <c r="I253" s="2" t="s">
        <v>1629</v>
      </c>
      <c r="J253" s="2" t="s">
        <v>1630</v>
      </c>
      <c r="K253" s="2" t="s">
        <v>27</v>
      </c>
      <c r="L253" s="2" t="s">
        <v>26</v>
      </c>
      <c r="M253" s="2"/>
      <c r="N253" s="2"/>
      <c r="O253" s="2" t="s">
        <v>1574</v>
      </c>
    </row>
    <row r="254" spans="1:15" ht="96" customHeight="1">
      <c r="A254" s="2">
        <v>253</v>
      </c>
      <c r="B254" s="2" t="s">
        <v>1631</v>
      </c>
      <c r="C254" s="2"/>
      <c r="D254" s="2" t="s">
        <v>1568</v>
      </c>
      <c r="E254" s="2" t="s">
        <v>74</v>
      </c>
      <c r="F254" s="2" t="s">
        <v>1632</v>
      </c>
      <c r="G254" s="2" t="s">
        <v>1633</v>
      </c>
      <c r="H254" s="2" t="s">
        <v>1634</v>
      </c>
      <c r="I254" s="2" t="s">
        <v>1635</v>
      </c>
      <c r="J254" s="2" t="s">
        <v>1636</v>
      </c>
      <c r="K254" s="2" t="s">
        <v>29</v>
      </c>
      <c r="L254" s="2" t="s">
        <v>26</v>
      </c>
      <c r="M254" s="2"/>
      <c r="N254" s="2"/>
      <c r="O254" s="2" t="s">
        <v>1574</v>
      </c>
    </row>
    <row r="255" spans="1:15" ht="96" customHeight="1">
      <c r="A255" s="2">
        <v>254</v>
      </c>
      <c r="B255" s="2" t="s">
        <v>1637</v>
      </c>
      <c r="C255" s="2"/>
      <c r="D255" s="2" t="s">
        <v>1568</v>
      </c>
      <c r="E255" s="2" t="s">
        <v>29</v>
      </c>
      <c r="F255" s="2" t="s">
        <v>1638</v>
      </c>
      <c r="G255" s="2" t="s">
        <v>1639</v>
      </c>
      <c r="H255" s="2" t="s">
        <v>1640</v>
      </c>
      <c r="I255" s="2" t="s">
        <v>1641</v>
      </c>
      <c r="J255" s="2" t="s">
        <v>1642</v>
      </c>
      <c r="K255" s="2" t="s">
        <v>27</v>
      </c>
      <c r="L255" s="2" t="s">
        <v>26</v>
      </c>
      <c r="M255" s="2"/>
      <c r="N255" s="2"/>
      <c r="O255" s="2" t="s">
        <v>1574</v>
      </c>
    </row>
    <row r="256" spans="1:15" ht="96" customHeight="1">
      <c r="A256" s="2">
        <v>255</v>
      </c>
      <c r="B256" s="2" t="s">
        <v>1643</v>
      </c>
      <c r="C256" s="2"/>
      <c r="D256" s="2" t="s">
        <v>1568</v>
      </c>
      <c r="E256" s="2" t="s">
        <v>29</v>
      </c>
      <c r="F256" s="2" t="s">
        <v>1644</v>
      </c>
      <c r="G256" s="2" t="s">
        <v>1645</v>
      </c>
      <c r="H256" s="2" t="s">
        <v>1646</v>
      </c>
      <c r="I256" s="2" t="s">
        <v>1647</v>
      </c>
      <c r="J256" s="2" t="s">
        <v>1648</v>
      </c>
      <c r="K256" s="2" t="s">
        <v>27</v>
      </c>
      <c r="L256" s="2" t="s">
        <v>26</v>
      </c>
      <c r="M256" s="2"/>
      <c r="N256" s="2"/>
      <c r="O256" s="2" t="s">
        <v>1574</v>
      </c>
    </row>
    <row r="257" spans="1:15" ht="96" customHeight="1">
      <c r="A257" s="2">
        <v>256</v>
      </c>
      <c r="B257" s="2" t="s">
        <v>1649</v>
      </c>
      <c r="C257" s="2"/>
      <c r="D257" s="2" t="s">
        <v>1568</v>
      </c>
      <c r="E257" s="2" t="s">
        <v>74</v>
      </c>
      <c r="F257" s="2" t="s">
        <v>1650</v>
      </c>
      <c r="G257" s="2" t="s">
        <v>1651</v>
      </c>
      <c r="H257" s="2" t="s">
        <v>1652</v>
      </c>
      <c r="I257" s="2" t="s">
        <v>1653</v>
      </c>
      <c r="J257" s="2" t="s">
        <v>1654</v>
      </c>
      <c r="K257" s="2" t="s">
        <v>27</v>
      </c>
      <c r="L257" s="2" t="s">
        <v>26</v>
      </c>
      <c r="M257" s="2"/>
      <c r="N257" s="2"/>
      <c r="O257" s="2" t="s">
        <v>1574</v>
      </c>
    </row>
    <row r="258" spans="1:15" ht="96" customHeight="1">
      <c r="A258" s="2">
        <v>257</v>
      </c>
      <c r="B258" s="2" t="s">
        <v>1655</v>
      </c>
      <c r="C258" s="2" t="s">
        <v>1656</v>
      </c>
      <c r="D258" s="2" t="s">
        <v>1568</v>
      </c>
      <c r="E258" s="2" t="s">
        <v>29</v>
      </c>
      <c r="F258" s="2" t="s">
        <v>1657</v>
      </c>
      <c r="G258" s="2" t="s">
        <v>1658</v>
      </c>
      <c r="H258" s="2" t="s">
        <v>1659</v>
      </c>
      <c r="I258" s="2" t="s">
        <v>1660</v>
      </c>
      <c r="J258" s="2" t="s">
        <v>1661</v>
      </c>
      <c r="K258" s="2" t="s">
        <v>29</v>
      </c>
      <c r="L258" s="2" t="s">
        <v>26</v>
      </c>
      <c r="M258" s="2"/>
      <c r="N258" s="2"/>
      <c r="O258" s="2" t="s">
        <v>1574</v>
      </c>
    </row>
    <row r="259" spans="1:15" ht="96" customHeight="1">
      <c r="A259" s="2">
        <v>258</v>
      </c>
      <c r="B259" s="2" t="s">
        <v>1662</v>
      </c>
      <c r="C259" s="2" t="s">
        <v>1663</v>
      </c>
      <c r="D259" s="2" t="s">
        <v>1568</v>
      </c>
      <c r="E259" s="2" t="s">
        <v>29</v>
      </c>
      <c r="F259" s="2" t="s">
        <v>1664</v>
      </c>
      <c r="G259" s="2" t="s">
        <v>1665</v>
      </c>
      <c r="H259" s="2" t="s">
        <v>1666</v>
      </c>
      <c r="I259" s="2" t="s">
        <v>1667</v>
      </c>
      <c r="J259" s="2" t="s">
        <v>1668</v>
      </c>
      <c r="K259" s="2" t="s">
        <v>27</v>
      </c>
      <c r="L259" s="2" t="s">
        <v>26</v>
      </c>
      <c r="M259" s="2"/>
      <c r="N259" s="2"/>
      <c r="O259" s="2" t="s">
        <v>1574</v>
      </c>
    </row>
    <row r="260" spans="1:15" ht="96" customHeight="1">
      <c r="A260" s="2">
        <v>259</v>
      </c>
      <c r="B260" s="2" t="s">
        <v>1669</v>
      </c>
      <c r="C260" s="2" t="s">
        <v>1670</v>
      </c>
      <c r="D260" s="2" t="s">
        <v>1568</v>
      </c>
      <c r="E260" s="2" t="s">
        <v>29</v>
      </c>
      <c r="F260" s="2" t="s">
        <v>1671</v>
      </c>
      <c r="G260" s="2" t="s">
        <v>1672</v>
      </c>
      <c r="H260" s="2" t="s">
        <v>1673</v>
      </c>
      <c r="I260" s="2" t="s">
        <v>1674</v>
      </c>
      <c r="J260" s="2" t="s">
        <v>1675</v>
      </c>
      <c r="K260" s="2" t="s">
        <v>27</v>
      </c>
      <c r="L260" s="2" t="s">
        <v>26</v>
      </c>
      <c r="M260" s="2"/>
      <c r="N260" s="2"/>
      <c r="O260" s="2" t="s">
        <v>1574</v>
      </c>
    </row>
    <row r="261" spans="1:15" ht="96" customHeight="1">
      <c r="A261" s="2">
        <v>260</v>
      </c>
      <c r="B261" s="2" t="s">
        <v>1676</v>
      </c>
      <c r="C261" s="2" t="s">
        <v>1677</v>
      </c>
      <c r="D261" s="2" t="s">
        <v>1568</v>
      </c>
      <c r="E261" s="2" t="s">
        <v>29</v>
      </c>
      <c r="F261" s="2" t="s">
        <v>1678</v>
      </c>
      <c r="G261" s="2" t="s">
        <v>1679</v>
      </c>
      <c r="H261" s="2" t="s">
        <v>1680</v>
      </c>
      <c r="I261" s="2" t="s">
        <v>1681</v>
      </c>
      <c r="J261" s="2" t="s">
        <v>1682</v>
      </c>
      <c r="K261" s="2" t="s">
        <v>29</v>
      </c>
      <c r="L261" s="2" t="s">
        <v>26</v>
      </c>
      <c r="M261" s="2"/>
      <c r="N261" s="2"/>
      <c r="O261" s="2" t="s">
        <v>1574</v>
      </c>
    </row>
    <row r="262" spans="1:15" ht="96" customHeight="1">
      <c r="A262" s="2">
        <v>261</v>
      </c>
      <c r="B262" s="2" t="s">
        <v>1683</v>
      </c>
      <c r="C262" s="2" t="s">
        <v>1684</v>
      </c>
      <c r="D262" s="2" t="s">
        <v>1568</v>
      </c>
      <c r="E262" s="2" t="s">
        <v>29</v>
      </c>
      <c r="F262" s="2" t="s">
        <v>1685</v>
      </c>
      <c r="G262" s="2" t="s">
        <v>1686</v>
      </c>
      <c r="H262" s="2" t="s">
        <v>1687</v>
      </c>
      <c r="I262" s="2" t="s">
        <v>1688</v>
      </c>
      <c r="J262" s="2" t="s">
        <v>1689</v>
      </c>
      <c r="K262" s="2" t="s">
        <v>29</v>
      </c>
      <c r="L262" s="2" t="s">
        <v>26</v>
      </c>
      <c r="M262" s="2"/>
      <c r="N262" s="2"/>
      <c r="O262" s="2" t="s">
        <v>1574</v>
      </c>
    </row>
    <row r="263" spans="1:15" ht="96" customHeight="1">
      <c r="A263" s="2">
        <v>262</v>
      </c>
      <c r="B263" s="2" t="s">
        <v>1690</v>
      </c>
      <c r="C263" s="2" t="s">
        <v>1691</v>
      </c>
      <c r="D263" s="2" t="s">
        <v>1568</v>
      </c>
      <c r="E263" s="2" t="s">
        <v>29</v>
      </c>
      <c r="F263" s="2" t="s">
        <v>1692</v>
      </c>
      <c r="G263" s="2" t="s">
        <v>1693</v>
      </c>
      <c r="H263" s="2" t="s">
        <v>1694</v>
      </c>
      <c r="I263" s="2" t="s">
        <v>1695</v>
      </c>
      <c r="J263" s="2" t="s">
        <v>1696</v>
      </c>
      <c r="K263" s="2" t="s">
        <v>27</v>
      </c>
      <c r="L263" s="2" t="s">
        <v>26</v>
      </c>
      <c r="M263" s="2"/>
      <c r="N263" s="2"/>
      <c r="O263" s="2" t="s">
        <v>1574</v>
      </c>
    </row>
    <row r="264" spans="1:15" ht="96" customHeight="1">
      <c r="A264" s="2">
        <v>263</v>
      </c>
      <c r="B264" s="2" t="s">
        <v>1697</v>
      </c>
      <c r="C264" s="2"/>
      <c r="D264" s="2" t="s">
        <v>1568</v>
      </c>
      <c r="E264" s="2" t="s">
        <v>29</v>
      </c>
      <c r="F264" s="2" t="s">
        <v>1698</v>
      </c>
      <c r="G264" s="2" t="s">
        <v>1699</v>
      </c>
      <c r="H264" s="2" t="s">
        <v>1700</v>
      </c>
      <c r="I264" s="2" t="s">
        <v>1701</v>
      </c>
      <c r="J264" s="2" t="s">
        <v>1702</v>
      </c>
      <c r="K264" s="2" t="s">
        <v>29</v>
      </c>
      <c r="L264" s="2" t="s">
        <v>26</v>
      </c>
      <c r="M264" s="2"/>
      <c r="N264" s="2"/>
      <c r="O264" s="2" t="s">
        <v>1574</v>
      </c>
    </row>
    <row r="265" spans="1:15" ht="96" customHeight="1">
      <c r="A265" s="2">
        <v>264</v>
      </c>
      <c r="B265" s="2" t="s">
        <v>1703</v>
      </c>
      <c r="C265" s="2"/>
      <c r="D265" s="2" t="s">
        <v>1568</v>
      </c>
      <c r="E265" s="2" t="s">
        <v>29</v>
      </c>
      <c r="F265" s="2" t="s">
        <v>1704</v>
      </c>
      <c r="G265" s="2" t="s">
        <v>1705</v>
      </c>
      <c r="H265" s="2" t="s">
        <v>1706</v>
      </c>
      <c r="I265" s="2" t="s">
        <v>1707</v>
      </c>
      <c r="J265" s="2" t="s">
        <v>1708</v>
      </c>
      <c r="K265" s="2" t="s">
        <v>29</v>
      </c>
      <c r="L265" s="2" t="s">
        <v>26</v>
      </c>
      <c r="M265" s="2"/>
      <c r="N265" s="2"/>
      <c r="O265" s="2" t="s">
        <v>1574</v>
      </c>
    </row>
    <row r="266" spans="1:15" ht="96" customHeight="1">
      <c r="A266" s="2">
        <v>265</v>
      </c>
      <c r="B266" s="2" t="s">
        <v>1709</v>
      </c>
      <c r="C266" s="2" t="s">
        <v>1710</v>
      </c>
      <c r="D266" s="2" t="s">
        <v>1568</v>
      </c>
      <c r="E266" s="2" t="s">
        <v>311</v>
      </c>
      <c r="F266" s="2" t="s">
        <v>1711</v>
      </c>
      <c r="G266" s="2" t="s">
        <v>1712</v>
      </c>
      <c r="H266" s="2" t="s">
        <v>1713</v>
      </c>
      <c r="I266" s="2" t="s">
        <v>1714</v>
      </c>
      <c r="J266" s="2" t="s">
        <v>1715</v>
      </c>
      <c r="K266" s="2" t="s">
        <v>29</v>
      </c>
      <c r="L266" s="2" t="s">
        <v>26</v>
      </c>
      <c r="M266" s="2"/>
      <c r="N266" s="2"/>
      <c r="O266" s="2" t="s">
        <v>1574</v>
      </c>
    </row>
    <row r="267" spans="1:15" ht="96" customHeight="1">
      <c r="A267" s="2">
        <v>266</v>
      </c>
      <c r="B267" s="2" t="s">
        <v>1716</v>
      </c>
      <c r="C267" s="2"/>
      <c r="D267" s="2" t="s">
        <v>1568</v>
      </c>
      <c r="E267" s="2" t="s">
        <v>311</v>
      </c>
      <c r="F267" s="2" t="s">
        <v>1717</v>
      </c>
      <c r="G267" s="2" t="s">
        <v>1718</v>
      </c>
      <c r="H267" s="2" t="s">
        <v>1719</v>
      </c>
      <c r="I267" s="2" t="s">
        <v>1720</v>
      </c>
      <c r="J267" s="2" t="s">
        <v>1721</v>
      </c>
      <c r="K267" s="2" t="s">
        <v>29</v>
      </c>
      <c r="L267" s="2" t="s">
        <v>26</v>
      </c>
      <c r="M267" s="2"/>
      <c r="N267" s="2"/>
      <c r="O267" s="2" t="s">
        <v>1574</v>
      </c>
    </row>
    <row r="268" spans="1:15" ht="96" customHeight="1">
      <c r="A268" s="2">
        <v>267</v>
      </c>
      <c r="B268" s="2" t="s">
        <v>1722</v>
      </c>
      <c r="C268" s="2" t="s">
        <v>1723</v>
      </c>
      <c r="D268" s="2" t="s">
        <v>1568</v>
      </c>
      <c r="E268" s="2" t="s">
        <v>29</v>
      </c>
      <c r="F268" s="2" t="s">
        <v>1724</v>
      </c>
      <c r="G268" s="2" t="s">
        <v>1725</v>
      </c>
      <c r="H268" s="2" t="s">
        <v>1726</v>
      </c>
      <c r="I268" s="2" t="s">
        <v>1727</v>
      </c>
      <c r="J268" s="2" t="s">
        <v>1728</v>
      </c>
      <c r="K268" s="2" t="s">
        <v>29</v>
      </c>
      <c r="L268" s="2" t="s">
        <v>26</v>
      </c>
      <c r="M268" s="2"/>
      <c r="N268" s="2"/>
      <c r="O268" s="2" t="s">
        <v>1574</v>
      </c>
    </row>
    <row r="269" spans="1:15" ht="96" customHeight="1">
      <c r="A269" s="2">
        <v>268</v>
      </c>
      <c r="B269" s="2" t="s">
        <v>1729</v>
      </c>
      <c r="C269" s="2" t="s">
        <v>1730</v>
      </c>
      <c r="D269" s="2" t="s">
        <v>1568</v>
      </c>
      <c r="E269" s="2" t="s">
        <v>29</v>
      </c>
      <c r="F269" s="2" t="s">
        <v>1731</v>
      </c>
      <c r="G269" s="2" t="s">
        <v>1732</v>
      </c>
      <c r="H269" s="2" t="s">
        <v>1733</v>
      </c>
      <c r="I269" s="2" t="s">
        <v>1734</v>
      </c>
      <c r="J269" s="2" t="s">
        <v>1735</v>
      </c>
      <c r="K269" s="2" t="s">
        <v>29</v>
      </c>
      <c r="L269" s="2" t="s">
        <v>26</v>
      </c>
      <c r="M269" s="2"/>
      <c r="N269" s="2"/>
      <c r="O269" s="2" t="s">
        <v>1574</v>
      </c>
    </row>
    <row r="270" spans="1:15" ht="96" customHeight="1">
      <c r="A270" s="2">
        <v>269</v>
      </c>
      <c r="B270" s="2" t="s">
        <v>1736</v>
      </c>
      <c r="C270" s="2" t="s">
        <v>1737</v>
      </c>
      <c r="D270" s="2" t="s">
        <v>1568</v>
      </c>
      <c r="E270" s="2" t="s">
        <v>29</v>
      </c>
      <c r="F270" s="2" t="s">
        <v>1738</v>
      </c>
      <c r="G270" s="2" t="s">
        <v>1739</v>
      </c>
      <c r="H270" s="2" t="s">
        <v>1740</v>
      </c>
      <c r="I270" s="2" t="s">
        <v>1741</v>
      </c>
      <c r="J270" s="2" t="s">
        <v>1742</v>
      </c>
      <c r="K270" s="2" t="s">
        <v>29</v>
      </c>
      <c r="L270" s="2" t="s">
        <v>26</v>
      </c>
      <c r="M270" s="2"/>
      <c r="N270" s="2"/>
      <c r="O270" s="2" t="s">
        <v>1574</v>
      </c>
    </row>
    <row r="271" spans="1:15" ht="96" customHeight="1">
      <c r="A271" s="2">
        <v>270</v>
      </c>
      <c r="B271" s="2" t="s">
        <v>1743</v>
      </c>
      <c r="C271" s="2" t="s">
        <v>1744</v>
      </c>
      <c r="D271" s="2" t="s">
        <v>1568</v>
      </c>
      <c r="E271" s="2" t="s">
        <v>29</v>
      </c>
      <c r="F271" s="2" t="s">
        <v>1745</v>
      </c>
      <c r="G271" s="2" t="s">
        <v>1746</v>
      </c>
      <c r="H271" s="2" t="s">
        <v>1747</v>
      </c>
      <c r="I271" s="2" t="s">
        <v>1748</v>
      </c>
      <c r="J271" s="2" t="s">
        <v>1749</v>
      </c>
      <c r="K271" s="2" t="s">
        <v>29</v>
      </c>
      <c r="L271" s="2" t="s">
        <v>26</v>
      </c>
      <c r="M271" s="2"/>
      <c r="N271" s="2"/>
      <c r="O271" s="2" t="s">
        <v>1574</v>
      </c>
    </row>
    <row r="272" spans="1:15" ht="96" customHeight="1">
      <c r="A272" s="2">
        <v>271</v>
      </c>
      <c r="B272" s="2" t="s">
        <v>1750</v>
      </c>
      <c r="C272" s="2" t="s">
        <v>1751</v>
      </c>
      <c r="D272" s="2" t="s">
        <v>1752</v>
      </c>
      <c r="E272" s="2" t="s">
        <v>74</v>
      </c>
      <c r="F272" s="2" t="s">
        <v>1753</v>
      </c>
      <c r="G272" s="2" t="s">
        <v>1754</v>
      </c>
      <c r="H272" s="2" t="s">
        <v>1755</v>
      </c>
      <c r="I272" s="2" t="s">
        <v>1756</v>
      </c>
      <c r="J272" s="2" t="s">
        <v>1757</v>
      </c>
      <c r="K272" s="2" t="s">
        <v>27</v>
      </c>
      <c r="L272" s="2" t="s">
        <v>26</v>
      </c>
      <c r="M272" s="2"/>
      <c r="N272" s="2"/>
      <c r="O272" s="2" t="s">
        <v>1758</v>
      </c>
    </row>
    <row r="273" spans="1:15" ht="96" customHeight="1">
      <c r="A273" s="2">
        <v>272</v>
      </c>
      <c r="B273" s="2" t="s">
        <v>1759</v>
      </c>
      <c r="C273" s="2" t="s">
        <v>1760</v>
      </c>
      <c r="D273" s="2" t="s">
        <v>1752</v>
      </c>
      <c r="E273" s="2" t="s">
        <v>74</v>
      </c>
      <c r="F273" s="2" t="s">
        <v>1761</v>
      </c>
      <c r="G273" s="2" t="s">
        <v>1762</v>
      </c>
      <c r="H273" s="2" t="s">
        <v>1763</v>
      </c>
      <c r="I273" s="2" t="s">
        <v>1764</v>
      </c>
      <c r="J273" s="2" t="s">
        <v>1765</v>
      </c>
      <c r="K273" s="2" t="s">
        <v>27</v>
      </c>
      <c r="L273" s="2" t="s">
        <v>26</v>
      </c>
      <c r="M273" s="2"/>
      <c r="N273" s="2"/>
      <c r="O273" s="2" t="s">
        <v>1758</v>
      </c>
    </row>
    <row r="274" spans="1:15" ht="96" customHeight="1">
      <c r="A274" s="2">
        <v>273</v>
      </c>
      <c r="B274" s="2" t="s">
        <v>1766</v>
      </c>
      <c r="C274" s="2" t="s">
        <v>1767</v>
      </c>
      <c r="D274" s="2" t="s">
        <v>1752</v>
      </c>
      <c r="E274" s="2" t="s">
        <v>29</v>
      </c>
      <c r="F274" s="2" t="s">
        <v>1768</v>
      </c>
      <c r="G274" s="2" t="s">
        <v>1769</v>
      </c>
      <c r="H274" s="2" t="s">
        <v>1770</v>
      </c>
      <c r="I274" s="2" t="s">
        <v>1771</v>
      </c>
      <c r="J274" s="2" t="s">
        <v>1772</v>
      </c>
      <c r="K274" s="2" t="s">
        <v>29</v>
      </c>
      <c r="L274" s="2" t="s">
        <v>26</v>
      </c>
      <c r="M274" s="2"/>
      <c r="N274" s="2"/>
      <c r="O274" s="2" t="s">
        <v>1758</v>
      </c>
    </row>
    <row r="275" spans="1:15" ht="96" customHeight="1">
      <c r="A275" s="2">
        <v>274</v>
      </c>
      <c r="B275" s="2" t="s">
        <v>1773</v>
      </c>
      <c r="C275" s="2" t="s">
        <v>1774</v>
      </c>
      <c r="D275" s="2" t="s">
        <v>1752</v>
      </c>
      <c r="E275" s="2" t="s">
        <v>29</v>
      </c>
      <c r="F275" s="2" t="s">
        <v>1775</v>
      </c>
      <c r="G275" s="2" t="s">
        <v>1776</v>
      </c>
      <c r="H275" s="2" t="s">
        <v>1777</v>
      </c>
      <c r="I275" s="2" t="s">
        <v>1778</v>
      </c>
      <c r="J275" s="2" t="s">
        <v>1779</v>
      </c>
      <c r="K275" s="2" t="s">
        <v>29</v>
      </c>
      <c r="L275" s="2" t="s">
        <v>26</v>
      </c>
      <c r="M275" s="2"/>
      <c r="N275" s="2"/>
      <c r="O275" s="2" t="s">
        <v>1758</v>
      </c>
    </row>
    <row r="276" spans="1:15" ht="96" customHeight="1">
      <c r="A276" s="2">
        <v>275</v>
      </c>
      <c r="B276" s="2" t="s">
        <v>1780</v>
      </c>
      <c r="C276" s="2" t="s">
        <v>1781</v>
      </c>
      <c r="D276" s="2" t="s">
        <v>1752</v>
      </c>
      <c r="E276" s="2" t="s">
        <v>29</v>
      </c>
      <c r="F276" s="2" t="s">
        <v>1782</v>
      </c>
      <c r="G276" s="2" t="s">
        <v>1783</v>
      </c>
      <c r="H276" s="2" t="s">
        <v>1784</v>
      </c>
      <c r="I276" s="2" t="s">
        <v>1785</v>
      </c>
      <c r="J276" s="2" t="s">
        <v>1786</v>
      </c>
      <c r="K276" s="2" t="s">
        <v>29</v>
      </c>
      <c r="L276" s="2" t="s">
        <v>26</v>
      </c>
      <c r="M276" s="2"/>
      <c r="N276" s="2"/>
      <c r="O276" s="2" t="s">
        <v>1758</v>
      </c>
    </row>
    <row r="277" spans="1:15" ht="96" customHeight="1">
      <c r="A277" s="2">
        <v>276</v>
      </c>
      <c r="B277" s="2" t="s">
        <v>1787</v>
      </c>
      <c r="C277" s="2"/>
      <c r="D277" s="2" t="s">
        <v>1752</v>
      </c>
      <c r="E277" s="2" t="s">
        <v>29</v>
      </c>
      <c r="F277" s="2" t="s">
        <v>1788</v>
      </c>
      <c r="G277" s="2" t="s">
        <v>1789</v>
      </c>
      <c r="H277" s="2" t="s">
        <v>1790</v>
      </c>
      <c r="I277" s="2" t="s">
        <v>1791</v>
      </c>
      <c r="J277" s="2" t="s">
        <v>1792</v>
      </c>
      <c r="K277" s="2" t="s">
        <v>29</v>
      </c>
      <c r="L277" s="2" t="s">
        <v>26</v>
      </c>
      <c r="M277" s="2"/>
      <c r="N277" s="2"/>
      <c r="O277" s="2" t="s">
        <v>1758</v>
      </c>
    </row>
    <row r="278" spans="1:15" ht="96" customHeight="1">
      <c r="A278" s="2">
        <v>277</v>
      </c>
      <c r="B278" s="2" t="s">
        <v>1793</v>
      </c>
      <c r="C278" s="2"/>
      <c r="D278" s="2" t="s">
        <v>1752</v>
      </c>
      <c r="E278" s="2" t="s">
        <v>29</v>
      </c>
      <c r="F278" s="2" t="s">
        <v>1794</v>
      </c>
      <c r="G278" s="2" t="s">
        <v>1795</v>
      </c>
      <c r="H278" s="2" t="s">
        <v>1796</v>
      </c>
      <c r="I278" s="2" t="s">
        <v>1797</v>
      </c>
      <c r="J278" s="2" t="s">
        <v>1798</v>
      </c>
      <c r="K278" s="2" t="s">
        <v>29</v>
      </c>
      <c r="L278" s="2" t="s">
        <v>26</v>
      </c>
      <c r="M278" s="2"/>
      <c r="N278" s="2"/>
      <c r="O278" s="2" t="s">
        <v>1758</v>
      </c>
    </row>
    <row r="279" spans="1:15" ht="96" customHeight="1">
      <c r="A279" s="2">
        <v>278</v>
      </c>
      <c r="B279" s="2" t="s">
        <v>1799</v>
      </c>
      <c r="C279" s="2"/>
      <c r="D279" s="2" t="s">
        <v>1752</v>
      </c>
      <c r="E279" s="2" t="s">
        <v>29</v>
      </c>
      <c r="F279" s="2" t="s">
        <v>1800</v>
      </c>
      <c r="G279" s="2" t="s">
        <v>1801</v>
      </c>
      <c r="H279" s="2" t="s">
        <v>1802</v>
      </c>
      <c r="I279" s="2" t="s">
        <v>1803</v>
      </c>
      <c r="J279" s="2" t="s">
        <v>1804</v>
      </c>
      <c r="K279" s="2" t="s">
        <v>27</v>
      </c>
      <c r="L279" s="2" t="s">
        <v>26</v>
      </c>
      <c r="M279" s="2"/>
      <c r="N279" s="2"/>
      <c r="O279" s="2" t="s">
        <v>1758</v>
      </c>
    </row>
    <row r="280" spans="1:15" ht="96" customHeight="1">
      <c r="A280" s="2">
        <v>279</v>
      </c>
      <c r="B280" s="2" t="s">
        <v>1805</v>
      </c>
      <c r="C280" s="2"/>
      <c r="D280" s="2" t="s">
        <v>1752</v>
      </c>
      <c r="E280" s="2" t="s">
        <v>29</v>
      </c>
      <c r="F280" s="2" t="s">
        <v>1806</v>
      </c>
      <c r="G280" s="2" t="s">
        <v>1807</v>
      </c>
      <c r="H280" s="2" t="s">
        <v>1808</v>
      </c>
      <c r="I280" s="2" t="s">
        <v>1809</v>
      </c>
      <c r="J280" s="2" t="s">
        <v>1810</v>
      </c>
      <c r="K280" s="2" t="s">
        <v>29</v>
      </c>
      <c r="L280" s="2" t="s">
        <v>26</v>
      </c>
      <c r="M280" s="2"/>
      <c r="N280" s="2"/>
      <c r="O280" s="2" t="s">
        <v>1758</v>
      </c>
    </row>
    <row r="281" spans="1:15" ht="96" customHeight="1">
      <c r="A281" s="2">
        <v>280</v>
      </c>
      <c r="B281" s="2" t="s">
        <v>1811</v>
      </c>
      <c r="C281" s="2"/>
      <c r="D281" s="2" t="s">
        <v>1752</v>
      </c>
      <c r="E281" s="2" t="s">
        <v>29</v>
      </c>
      <c r="F281" s="2" t="s">
        <v>1812</v>
      </c>
      <c r="G281" s="2" t="s">
        <v>1813</v>
      </c>
      <c r="H281" s="2" t="s">
        <v>1814</v>
      </c>
      <c r="I281" s="2" t="s">
        <v>1815</v>
      </c>
      <c r="J281" s="2" t="s">
        <v>1816</v>
      </c>
      <c r="K281" s="2" t="s">
        <v>29</v>
      </c>
      <c r="L281" s="2" t="s">
        <v>26</v>
      </c>
      <c r="M281" s="2"/>
      <c r="N281" s="2"/>
      <c r="O281" s="2" t="s">
        <v>1758</v>
      </c>
    </row>
    <row r="282" spans="1:15" ht="96" customHeight="1">
      <c r="A282" s="2">
        <v>281</v>
      </c>
      <c r="B282" s="2" t="s">
        <v>1817</v>
      </c>
      <c r="C282" s="2"/>
      <c r="D282" s="2" t="s">
        <v>1752</v>
      </c>
      <c r="E282" s="2" t="s">
        <v>29</v>
      </c>
      <c r="F282" s="2" t="s">
        <v>1818</v>
      </c>
      <c r="G282" s="2" t="s">
        <v>1819</v>
      </c>
      <c r="H282" s="2" t="s">
        <v>1820</v>
      </c>
      <c r="I282" s="2" t="s">
        <v>1821</v>
      </c>
      <c r="J282" s="2" t="s">
        <v>1822</v>
      </c>
      <c r="K282" s="2" t="s">
        <v>29</v>
      </c>
      <c r="L282" s="2" t="s">
        <v>26</v>
      </c>
      <c r="M282" s="2"/>
      <c r="N282" s="2"/>
      <c r="O282" s="2" t="s">
        <v>1758</v>
      </c>
    </row>
    <row r="283" spans="1:15" ht="96" customHeight="1">
      <c r="A283" s="2">
        <v>282</v>
      </c>
      <c r="B283" s="2" t="s">
        <v>1823</v>
      </c>
      <c r="C283" s="2"/>
      <c r="D283" s="2" t="s">
        <v>1752</v>
      </c>
      <c r="E283" s="2" t="s">
        <v>29</v>
      </c>
      <c r="F283" s="2" t="s">
        <v>1824</v>
      </c>
      <c r="G283" s="2" t="s">
        <v>1825</v>
      </c>
      <c r="H283" s="2" t="s">
        <v>1826</v>
      </c>
      <c r="I283" s="2" t="s">
        <v>1827</v>
      </c>
      <c r="J283" s="2" t="s">
        <v>1828</v>
      </c>
      <c r="K283" s="2" t="s">
        <v>27</v>
      </c>
      <c r="L283" s="2" t="s">
        <v>26</v>
      </c>
      <c r="M283" s="2"/>
      <c r="N283" s="2"/>
      <c r="O283" s="2" t="s">
        <v>1758</v>
      </c>
    </row>
    <row r="284" spans="1:15" ht="96" customHeight="1">
      <c r="A284" s="2">
        <v>283</v>
      </c>
      <c r="B284" s="2" t="s">
        <v>1829</v>
      </c>
      <c r="C284" s="2"/>
      <c r="D284" s="2" t="s">
        <v>1752</v>
      </c>
      <c r="E284" s="2" t="s">
        <v>74</v>
      </c>
      <c r="F284" s="2" t="s">
        <v>1830</v>
      </c>
      <c r="G284" s="2" t="s">
        <v>1831</v>
      </c>
      <c r="H284" s="2" t="s">
        <v>1832</v>
      </c>
      <c r="I284" s="2" t="s">
        <v>1833</v>
      </c>
      <c r="J284" s="2" t="s">
        <v>1834</v>
      </c>
      <c r="K284" s="2" t="s">
        <v>27</v>
      </c>
      <c r="L284" s="2" t="s">
        <v>26</v>
      </c>
      <c r="M284" s="2"/>
      <c r="N284" s="2"/>
      <c r="O284" s="2" t="s">
        <v>1758</v>
      </c>
    </row>
    <row r="285" spans="1:15" ht="96" customHeight="1">
      <c r="A285" s="2">
        <v>284</v>
      </c>
      <c r="B285" s="2" t="s">
        <v>1835</v>
      </c>
      <c r="C285" s="2"/>
      <c r="D285" s="2" t="s">
        <v>1752</v>
      </c>
      <c r="E285" s="2" t="s">
        <v>29</v>
      </c>
      <c r="F285" s="2" t="s">
        <v>1836</v>
      </c>
      <c r="G285" s="2" t="s">
        <v>1837</v>
      </c>
      <c r="H285" s="2" t="s">
        <v>1838</v>
      </c>
      <c r="I285" s="2" t="s">
        <v>1839</v>
      </c>
      <c r="J285" s="2" t="s">
        <v>1840</v>
      </c>
      <c r="K285" s="2" t="s">
        <v>27</v>
      </c>
      <c r="L285" s="2" t="s">
        <v>26</v>
      </c>
      <c r="M285" s="2"/>
      <c r="N285" s="2"/>
      <c r="O285" s="2" t="s">
        <v>1758</v>
      </c>
    </row>
    <row r="286" spans="1:15" ht="96" customHeight="1">
      <c r="A286" s="2">
        <v>285</v>
      </c>
      <c r="B286" s="2" t="s">
        <v>1841</v>
      </c>
      <c r="C286" s="2"/>
      <c r="D286" s="2" t="s">
        <v>1752</v>
      </c>
      <c r="E286" s="2" t="s">
        <v>29</v>
      </c>
      <c r="F286" s="2" t="s">
        <v>1842</v>
      </c>
      <c r="G286" s="2" t="s">
        <v>1843</v>
      </c>
      <c r="H286" s="2" t="s">
        <v>1844</v>
      </c>
      <c r="I286" s="2" t="s">
        <v>1845</v>
      </c>
      <c r="J286" s="2" t="s">
        <v>1846</v>
      </c>
      <c r="K286" s="2" t="s">
        <v>27</v>
      </c>
      <c r="L286" s="2" t="s">
        <v>26</v>
      </c>
      <c r="M286" s="2"/>
      <c r="N286" s="2"/>
      <c r="O286" s="2" t="s">
        <v>1758</v>
      </c>
    </row>
    <row r="287" spans="1:15" ht="96" customHeight="1">
      <c r="A287" s="2">
        <v>286</v>
      </c>
      <c r="B287" s="2" t="s">
        <v>1847</v>
      </c>
      <c r="C287" s="2"/>
      <c r="D287" s="2" t="s">
        <v>1752</v>
      </c>
      <c r="E287" s="2" t="s">
        <v>74</v>
      </c>
      <c r="F287" s="2" t="s">
        <v>1848</v>
      </c>
      <c r="G287" s="2" t="s">
        <v>1849</v>
      </c>
      <c r="H287" s="2" t="s">
        <v>1850</v>
      </c>
      <c r="I287" s="2" t="s">
        <v>1851</v>
      </c>
      <c r="J287" s="2" t="s">
        <v>1852</v>
      </c>
      <c r="K287" s="2" t="s">
        <v>27</v>
      </c>
      <c r="L287" s="2" t="s">
        <v>26</v>
      </c>
      <c r="M287" s="2"/>
      <c r="N287" s="2"/>
      <c r="O287" s="2" t="s">
        <v>1758</v>
      </c>
    </row>
    <row r="288" spans="1:15" ht="96" customHeight="1">
      <c r="A288" s="2">
        <v>287</v>
      </c>
      <c r="B288" s="2" t="s">
        <v>1853</v>
      </c>
      <c r="C288" s="2"/>
      <c r="D288" s="2" t="s">
        <v>1752</v>
      </c>
      <c r="E288" s="2" t="s">
        <v>74</v>
      </c>
      <c r="F288" s="2" t="s">
        <v>1854</v>
      </c>
      <c r="G288" s="2" t="s">
        <v>1855</v>
      </c>
      <c r="H288" s="2" t="s">
        <v>1856</v>
      </c>
      <c r="I288" s="2" t="s">
        <v>1857</v>
      </c>
      <c r="J288" s="2" t="s">
        <v>1858</v>
      </c>
      <c r="K288" s="2" t="s">
        <v>27</v>
      </c>
      <c r="L288" s="2" t="s">
        <v>26</v>
      </c>
      <c r="M288" s="2"/>
      <c r="N288" s="2"/>
      <c r="O288" s="2" t="s">
        <v>1758</v>
      </c>
    </row>
    <row r="289" spans="1:15" ht="96" customHeight="1">
      <c r="A289" s="2">
        <v>288</v>
      </c>
      <c r="B289" s="2" t="s">
        <v>1859</v>
      </c>
      <c r="C289" s="2" t="s">
        <v>1860</v>
      </c>
      <c r="D289" s="2" t="s">
        <v>1752</v>
      </c>
      <c r="E289" s="2" t="s">
        <v>29</v>
      </c>
      <c r="F289" s="2" t="s">
        <v>1861</v>
      </c>
      <c r="G289" s="2" t="s">
        <v>1862</v>
      </c>
      <c r="H289" s="2" t="s">
        <v>1863</v>
      </c>
      <c r="I289" s="2" t="s">
        <v>1864</v>
      </c>
      <c r="J289" s="2" t="s">
        <v>1865</v>
      </c>
      <c r="K289" s="2" t="s">
        <v>29</v>
      </c>
      <c r="L289" s="2" t="s">
        <v>26</v>
      </c>
      <c r="M289" s="2"/>
      <c r="N289" s="2"/>
      <c r="O289" s="2" t="s">
        <v>1758</v>
      </c>
    </row>
    <row r="290" spans="1:15" ht="96" customHeight="1">
      <c r="A290" s="2">
        <v>289</v>
      </c>
      <c r="B290" s="2" t="s">
        <v>1866</v>
      </c>
      <c r="C290" s="2"/>
      <c r="D290" s="2" t="s">
        <v>1752</v>
      </c>
      <c r="E290" s="2" t="s">
        <v>29</v>
      </c>
      <c r="F290" s="2" t="s">
        <v>1867</v>
      </c>
      <c r="G290" s="2" t="s">
        <v>1868</v>
      </c>
      <c r="H290" s="2" t="s">
        <v>1869</v>
      </c>
      <c r="I290" s="2" t="s">
        <v>1870</v>
      </c>
      <c r="J290" s="2" t="s">
        <v>1871</v>
      </c>
      <c r="K290" s="2" t="s">
        <v>29</v>
      </c>
      <c r="L290" s="2" t="s">
        <v>26</v>
      </c>
      <c r="M290" s="2"/>
      <c r="N290" s="2"/>
      <c r="O290" s="2" t="s">
        <v>1758</v>
      </c>
    </row>
    <row r="291" spans="1:15" ht="96" customHeight="1">
      <c r="A291" s="2">
        <v>290</v>
      </c>
      <c r="B291" s="2" t="s">
        <v>1872</v>
      </c>
      <c r="C291" s="2" t="s">
        <v>1873</v>
      </c>
      <c r="D291" s="2" t="s">
        <v>1752</v>
      </c>
      <c r="E291" s="2" t="s">
        <v>29</v>
      </c>
      <c r="F291" s="2" t="s">
        <v>1874</v>
      </c>
      <c r="G291" s="2" t="s">
        <v>1875</v>
      </c>
      <c r="H291" s="2" t="s">
        <v>1876</v>
      </c>
      <c r="I291" s="2" t="s">
        <v>1877</v>
      </c>
      <c r="J291" s="2" t="s">
        <v>1878</v>
      </c>
      <c r="K291" s="2" t="s">
        <v>27</v>
      </c>
      <c r="L291" s="2" t="s">
        <v>26</v>
      </c>
      <c r="M291" s="2"/>
      <c r="N291" s="2"/>
      <c r="O291" s="2" t="s">
        <v>1758</v>
      </c>
    </row>
    <row r="292" spans="1:15" ht="96" customHeight="1">
      <c r="A292" s="2">
        <v>291</v>
      </c>
      <c r="B292" s="2" t="s">
        <v>1879</v>
      </c>
      <c r="C292" s="2" t="s">
        <v>1880</v>
      </c>
      <c r="D292" s="2" t="s">
        <v>1752</v>
      </c>
      <c r="E292" s="2" t="s">
        <v>29</v>
      </c>
      <c r="F292" s="2" t="s">
        <v>1881</v>
      </c>
      <c r="G292" s="2" t="s">
        <v>1882</v>
      </c>
      <c r="H292" s="2" t="s">
        <v>1883</v>
      </c>
      <c r="I292" s="2" t="s">
        <v>1884</v>
      </c>
      <c r="J292" s="2" t="s">
        <v>1885</v>
      </c>
      <c r="K292" s="2" t="s">
        <v>29</v>
      </c>
      <c r="L292" s="2" t="s">
        <v>26</v>
      </c>
      <c r="M292" s="2"/>
      <c r="N292" s="2"/>
      <c r="O292" s="2" t="s">
        <v>1758</v>
      </c>
    </row>
    <row r="293" spans="1:15" ht="96" customHeight="1">
      <c r="A293" s="2">
        <v>292</v>
      </c>
      <c r="B293" s="2" t="s">
        <v>1886</v>
      </c>
      <c r="C293" s="2"/>
      <c r="D293" s="2" t="s">
        <v>1752</v>
      </c>
      <c r="E293" s="2" t="s">
        <v>29</v>
      </c>
      <c r="F293" s="2" t="s">
        <v>1887</v>
      </c>
      <c r="G293" s="2" t="s">
        <v>1888</v>
      </c>
      <c r="H293" s="2" t="s">
        <v>1889</v>
      </c>
      <c r="I293" s="2" t="s">
        <v>1890</v>
      </c>
      <c r="J293" s="2" t="s">
        <v>1891</v>
      </c>
      <c r="K293" s="2" t="s">
        <v>27</v>
      </c>
      <c r="L293" s="2" t="s">
        <v>26</v>
      </c>
      <c r="M293" s="2"/>
      <c r="N293" s="2"/>
      <c r="O293" s="2" t="s">
        <v>1758</v>
      </c>
    </row>
    <row r="294" spans="1:15" ht="96" customHeight="1">
      <c r="A294" s="2">
        <v>293</v>
      </c>
      <c r="B294" s="2" t="s">
        <v>1892</v>
      </c>
      <c r="C294" s="2"/>
      <c r="D294" s="2" t="s">
        <v>1752</v>
      </c>
      <c r="E294" s="2" t="s">
        <v>29</v>
      </c>
      <c r="F294" s="2" t="s">
        <v>1893</v>
      </c>
      <c r="G294" s="2" t="s">
        <v>1894</v>
      </c>
      <c r="H294" s="2" t="s">
        <v>1895</v>
      </c>
      <c r="I294" s="2" t="s">
        <v>1896</v>
      </c>
      <c r="J294" s="2" t="s">
        <v>1897</v>
      </c>
      <c r="K294" s="2" t="s">
        <v>27</v>
      </c>
      <c r="L294" s="2" t="s">
        <v>26</v>
      </c>
      <c r="M294" s="2"/>
      <c r="N294" s="2"/>
      <c r="O294" s="2" t="s">
        <v>1758</v>
      </c>
    </row>
    <row r="295" spans="1:15" ht="96" customHeight="1">
      <c r="A295" s="2">
        <v>294</v>
      </c>
      <c r="B295" s="2" t="s">
        <v>1898</v>
      </c>
      <c r="C295" s="2"/>
      <c r="D295" s="2" t="s">
        <v>1752</v>
      </c>
      <c r="E295" s="2" t="s">
        <v>29</v>
      </c>
      <c r="F295" s="2" t="s">
        <v>1899</v>
      </c>
      <c r="G295" s="2" t="s">
        <v>1900</v>
      </c>
      <c r="H295" s="2" t="s">
        <v>1901</v>
      </c>
      <c r="I295" s="2" t="s">
        <v>1902</v>
      </c>
      <c r="J295" s="2" t="s">
        <v>1903</v>
      </c>
      <c r="K295" s="2" t="s">
        <v>29</v>
      </c>
      <c r="L295" s="2" t="s">
        <v>26</v>
      </c>
      <c r="M295" s="2"/>
      <c r="N295" s="2"/>
      <c r="O295" s="2" t="s">
        <v>1758</v>
      </c>
    </row>
    <row r="296" spans="1:15" ht="96" customHeight="1">
      <c r="A296" s="2">
        <v>295</v>
      </c>
      <c r="B296" s="2" t="s">
        <v>1904</v>
      </c>
      <c r="C296" s="2"/>
      <c r="D296" s="2" t="s">
        <v>1752</v>
      </c>
      <c r="E296" s="2" t="s">
        <v>29</v>
      </c>
      <c r="F296" s="2" t="s">
        <v>1905</v>
      </c>
      <c r="G296" s="2" t="s">
        <v>1906</v>
      </c>
      <c r="H296" s="2" t="s">
        <v>1907</v>
      </c>
      <c r="I296" s="2" t="s">
        <v>1908</v>
      </c>
      <c r="J296" s="2" t="s">
        <v>1909</v>
      </c>
      <c r="K296" s="2" t="s">
        <v>29</v>
      </c>
      <c r="L296" s="2" t="s">
        <v>26</v>
      </c>
      <c r="M296" s="2"/>
      <c r="N296" s="2"/>
      <c r="O296" s="2" t="s">
        <v>1758</v>
      </c>
    </row>
    <row r="297" spans="1:15" ht="96" customHeight="1">
      <c r="A297" s="2">
        <v>296</v>
      </c>
      <c r="B297" s="2" t="s">
        <v>1910</v>
      </c>
      <c r="C297" s="2"/>
      <c r="D297" s="2" t="s">
        <v>1752</v>
      </c>
      <c r="E297" s="2" t="s">
        <v>29</v>
      </c>
      <c r="F297" s="2" t="s">
        <v>1911</v>
      </c>
      <c r="G297" s="2" t="s">
        <v>1912</v>
      </c>
      <c r="H297" s="2" t="s">
        <v>1913</v>
      </c>
      <c r="I297" s="2" t="s">
        <v>1914</v>
      </c>
      <c r="J297" s="2" t="s">
        <v>1915</v>
      </c>
      <c r="K297" s="2" t="s">
        <v>27</v>
      </c>
      <c r="L297" s="2" t="s">
        <v>26</v>
      </c>
      <c r="M297" s="2"/>
      <c r="N297" s="2"/>
      <c r="O297" s="2" t="s">
        <v>1758</v>
      </c>
    </row>
    <row r="298" spans="1:15" ht="96" customHeight="1">
      <c r="A298" s="2">
        <v>297</v>
      </c>
      <c r="B298" s="2" t="s">
        <v>1916</v>
      </c>
      <c r="C298" s="2"/>
      <c r="D298" s="2" t="s">
        <v>1752</v>
      </c>
      <c r="E298" s="2" t="s">
        <v>29</v>
      </c>
      <c r="F298" s="2" t="s">
        <v>1917</v>
      </c>
      <c r="G298" s="2" t="s">
        <v>1918</v>
      </c>
      <c r="H298" s="2" t="s">
        <v>1919</v>
      </c>
      <c r="I298" s="2" t="s">
        <v>1920</v>
      </c>
      <c r="J298" s="2" t="s">
        <v>1921</v>
      </c>
      <c r="K298" s="2" t="s">
        <v>29</v>
      </c>
      <c r="L298" s="2" t="s">
        <v>26</v>
      </c>
      <c r="M298" s="2"/>
      <c r="N298" s="2"/>
      <c r="O298" s="2" t="s">
        <v>1758</v>
      </c>
    </row>
    <row r="299" spans="1:15" ht="96" customHeight="1">
      <c r="A299" s="2">
        <v>298</v>
      </c>
      <c r="B299" s="2" t="s">
        <v>1922</v>
      </c>
      <c r="C299" s="2" t="s">
        <v>1923</v>
      </c>
      <c r="D299" s="2" t="s">
        <v>1752</v>
      </c>
      <c r="E299" s="2" t="s">
        <v>29</v>
      </c>
      <c r="F299" s="2" t="s">
        <v>1924</v>
      </c>
      <c r="G299" s="2" t="s">
        <v>1925</v>
      </c>
      <c r="H299" s="2" t="s">
        <v>1926</v>
      </c>
      <c r="I299" s="2" t="s">
        <v>1927</v>
      </c>
      <c r="J299" s="2" t="s">
        <v>1928</v>
      </c>
      <c r="K299" s="2" t="s">
        <v>29</v>
      </c>
      <c r="L299" s="2" t="s">
        <v>26</v>
      </c>
      <c r="M299" s="2"/>
      <c r="N299" s="2"/>
      <c r="O299" s="2" t="s">
        <v>1758</v>
      </c>
    </row>
    <row r="300" spans="1:15" ht="96" customHeight="1">
      <c r="A300" s="2">
        <v>299</v>
      </c>
      <c r="B300" s="2" t="s">
        <v>1929</v>
      </c>
      <c r="C300" s="2" t="s">
        <v>1930</v>
      </c>
      <c r="D300" s="2" t="s">
        <v>1752</v>
      </c>
      <c r="E300" s="2" t="s">
        <v>74</v>
      </c>
      <c r="F300" s="2" t="s">
        <v>1931</v>
      </c>
      <c r="G300" s="2" t="s">
        <v>1932</v>
      </c>
      <c r="H300" s="2" t="s">
        <v>1933</v>
      </c>
      <c r="I300" s="2" t="s">
        <v>1934</v>
      </c>
      <c r="J300" s="2" t="s">
        <v>1935</v>
      </c>
      <c r="K300" s="2" t="s">
        <v>29</v>
      </c>
      <c r="L300" s="2" t="s">
        <v>26</v>
      </c>
      <c r="M300" s="2"/>
      <c r="N300" s="2"/>
      <c r="O300" s="2" t="s">
        <v>1758</v>
      </c>
    </row>
    <row r="301" spans="1:15" ht="96" customHeight="1">
      <c r="A301" s="2">
        <v>300</v>
      </c>
      <c r="B301" s="2" t="s">
        <v>1936</v>
      </c>
      <c r="C301" s="2"/>
      <c r="D301" s="2" t="s">
        <v>1752</v>
      </c>
      <c r="E301" s="2" t="s">
        <v>311</v>
      </c>
      <c r="F301" s="2" t="s">
        <v>1937</v>
      </c>
      <c r="G301" s="2" t="s">
        <v>1938</v>
      </c>
      <c r="H301" s="2" t="s">
        <v>1939</v>
      </c>
      <c r="I301" s="2" t="s">
        <v>1940</v>
      </c>
      <c r="J301" s="2" t="s">
        <v>1941</v>
      </c>
      <c r="K301" s="2" t="s">
        <v>27</v>
      </c>
      <c r="L301" s="2" t="s">
        <v>26</v>
      </c>
      <c r="M301" s="2"/>
      <c r="N301" s="2"/>
      <c r="O301" s="2" t="s">
        <v>1758</v>
      </c>
    </row>
    <row r="302" spans="1:15" ht="96" customHeight="1">
      <c r="A302" s="2">
        <v>301</v>
      </c>
      <c r="B302" s="2" t="s">
        <v>1942</v>
      </c>
      <c r="C302" s="2" t="s">
        <v>1943</v>
      </c>
      <c r="D302" s="2" t="s">
        <v>1944</v>
      </c>
      <c r="E302" s="2" t="s">
        <v>74</v>
      </c>
      <c r="F302" s="2" t="s">
        <v>1945</v>
      </c>
      <c r="G302" s="2" t="s">
        <v>1946</v>
      </c>
      <c r="H302" s="2" t="s">
        <v>1947</v>
      </c>
      <c r="I302" s="2" t="s">
        <v>1948</v>
      </c>
      <c r="J302" s="2" t="s">
        <v>1949</v>
      </c>
      <c r="K302" s="2" t="s">
        <v>27</v>
      </c>
      <c r="L302" s="2" t="s">
        <v>26</v>
      </c>
      <c r="M302" s="2"/>
      <c r="N302" s="2"/>
      <c r="O302" s="2" t="s">
        <v>1950</v>
      </c>
    </row>
    <row r="303" spans="1:15" ht="96" customHeight="1">
      <c r="A303" s="2">
        <v>302</v>
      </c>
      <c r="B303" s="2" t="s">
        <v>1951</v>
      </c>
      <c r="C303" s="2" t="s">
        <v>1952</v>
      </c>
      <c r="D303" s="2" t="s">
        <v>1944</v>
      </c>
      <c r="E303" s="2" t="s">
        <v>74</v>
      </c>
      <c r="F303" s="2" t="s">
        <v>1953</v>
      </c>
      <c r="G303" s="2" t="s">
        <v>1954</v>
      </c>
      <c r="H303" s="2" t="s">
        <v>1955</v>
      </c>
      <c r="I303" s="2" t="s">
        <v>1956</v>
      </c>
      <c r="J303" s="2" t="s">
        <v>1957</v>
      </c>
      <c r="K303" s="2" t="s">
        <v>27</v>
      </c>
      <c r="L303" s="2" t="s">
        <v>26</v>
      </c>
      <c r="M303" s="2"/>
      <c r="N303" s="2"/>
      <c r="O303" s="2" t="s">
        <v>1950</v>
      </c>
    </row>
    <row r="304" spans="1:15" ht="96" customHeight="1">
      <c r="A304" s="2">
        <v>303</v>
      </c>
      <c r="B304" s="2" t="s">
        <v>1958</v>
      </c>
      <c r="C304" s="2" t="s">
        <v>1959</v>
      </c>
      <c r="D304" s="2" t="s">
        <v>1944</v>
      </c>
      <c r="E304" s="2" t="s">
        <v>29</v>
      </c>
      <c r="F304" s="2" t="s">
        <v>1960</v>
      </c>
      <c r="G304" s="2" t="s">
        <v>1961</v>
      </c>
      <c r="H304" s="2" t="s">
        <v>1962</v>
      </c>
      <c r="I304" s="2" t="s">
        <v>1963</v>
      </c>
      <c r="J304" s="2" t="s">
        <v>1964</v>
      </c>
      <c r="K304" s="2" t="s">
        <v>29</v>
      </c>
      <c r="L304" s="2" t="s">
        <v>26</v>
      </c>
      <c r="M304" s="2"/>
      <c r="N304" s="2"/>
      <c r="O304" s="2" t="s">
        <v>1950</v>
      </c>
    </row>
    <row r="305" spans="1:15" ht="96" customHeight="1">
      <c r="A305" s="2">
        <v>304</v>
      </c>
      <c r="B305" s="2" t="s">
        <v>1965</v>
      </c>
      <c r="C305" s="2"/>
      <c r="D305" s="2" t="s">
        <v>1944</v>
      </c>
      <c r="E305" s="2" t="s">
        <v>29</v>
      </c>
      <c r="F305" s="2" t="s">
        <v>1966</v>
      </c>
      <c r="G305" s="2" t="s">
        <v>1967</v>
      </c>
      <c r="H305" s="2" t="s">
        <v>1968</v>
      </c>
      <c r="I305" s="2" t="s">
        <v>1969</v>
      </c>
      <c r="J305" s="2" t="s">
        <v>1970</v>
      </c>
      <c r="K305" s="2" t="s">
        <v>29</v>
      </c>
      <c r="L305" s="2" t="s">
        <v>26</v>
      </c>
      <c r="M305" s="2"/>
      <c r="N305" s="2"/>
      <c r="O305" s="2" t="s">
        <v>1950</v>
      </c>
    </row>
    <row r="306" spans="1:15" ht="96" customHeight="1">
      <c r="A306" s="2">
        <v>305</v>
      </c>
      <c r="B306" s="2" t="s">
        <v>1971</v>
      </c>
      <c r="C306" s="2"/>
      <c r="D306" s="2" t="s">
        <v>1944</v>
      </c>
      <c r="E306" s="2" t="s">
        <v>29</v>
      </c>
      <c r="F306" s="2" t="s">
        <v>1972</v>
      </c>
      <c r="G306" s="2" t="s">
        <v>1973</v>
      </c>
      <c r="H306" s="2" t="s">
        <v>1974</v>
      </c>
      <c r="I306" s="2" t="s">
        <v>1975</v>
      </c>
      <c r="J306" s="2" t="s">
        <v>1976</v>
      </c>
      <c r="K306" s="2" t="s">
        <v>29</v>
      </c>
      <c r="L306" s="2" t="s">
        <v>26</v>
      </c>
      <c r="M306" s="2"/>
      <c r="N306" s="2"/>
      <c r="O306" s="2" t="s">
        <v>1950</v>
      </c>
    </row>
    <row r="307" spans="1:15" ht="96" customHeight="1">
      <c r="A307" s="2">
        <v>306</v>
      </c>
      <c r="B307" s="2" t="s">
        <v>1977</v>
      </c>
      <c r="C307" s="2"/>
      <c r="D307" s="2" t="s">
        <v>1944</v>
      </c>
      <c r="E307" s="2" t="s">
        <v>29</v>
      </c>
      <c r="F307" s="2" t="s">
        <v>1978</v>
      </c>
      <c r="G307" s="2" t="s">
        <v>1979</v>
      </c>
      <c r="H307" s="2" t="s">
        <v>1980</v>
      </c>
      <c r="I307" s="2" t="s">
        <v>1981</v>
      </c>
      <c r="J307" s="2" t="s">
        <v>1982</v>
      </c>
      <c r="K307" s="2" t="s">
        <v>27</v>
      </c>
      <c r="L307" s="2" t="s">
        <v>26</v>
      </c>
      <c r="M307" s="2"/>
      <c r="N307" s="2"/>
      <c r="O307" s="2" t="s">
        <v>1950</v>
      </c>
    </row>
    <row r="308" spans="1:15" ht="96" customHeight="1">
      <c r="A308" s="2">
        <v>307</v>
      </c>
      <c r="B308" s="2" t="s">
        <v>1983</v>
      </c>
      <c r="C308" s="2" t="s">
        <v>1984</v>
      </c>
      <c r="D308" s="2" t="s">
        <v>1944</v>
      </c>
      <c r="E308" s="2" t="s">
        <v>29</v>
      </c>
      <c r="F308" s="2" t="s">
        <v>1985</v>
      </c>
      <c r="G308" s="2" t="s">
        <v>1986</v>
      </c>
      <c r="H308" s="2" t="s">
        <v>1987</v>
      </c>
      <c r="I308" s="2" t="s">
        <v>1988</v>
      </c>
      <c r="J308" s="2" t="s">
        <v>1989</v>
      </c>
      <c r="K308" s="2" t="s">
        <v>27</v>
      </c>
      <c r="L308" s="2" t="s">
        <v>26</v>
      </c>
      <c r="M308" s="2"/>
      <c r="N308" s="2"/>
      <c r="O308" s="2" t="s">
        <v>1950</v>
      </c>
    </row>
    <row r="309" spans="1:15" ht="96" customHeight="1">
      <c r="A309" s="2">
        <v>308</v>
      </c>
      <c r="B309" s="2" t="s">
        <v>1990</v>
      </c>
      <c r="C309" s="2" t="s">
        <v>1991</v>
      </c>
      <c r="D309" s="2" t="s">
        <v>1944</v>
      </c>
      <c r="E309" s="2" t="s">
        <v>74</v>
      </c>
      <c r="F309" s="2" t="s">
        <v>1992</v>
      </c>
      <c r="G309" s="2" t="s">
        <v>1993</v>
      </c>
      <c r="H309" s="2" t="s">
        <v>1994</v>
      </c>
      <c r="I309" s="2" t="s">
        <v>1995</v>
      </c>
      <c r="J309" s="2" t="s">
        <v>1996</v>
      </c>
      <c r="K309" s="2" t="s">
        <v>27</v>
      </c>
      <c r="L309" s="2" t="s">
        <v>26</v>
      </c>
      <c r="M309" s="2"/>
      <c r="N309" s="2"/>
      <c r="O309" s="2" t="s">
        <v>1950</v>
      </c>
    </row>
    <row r="310" spans="1:15" ht="96" customHeight="1">
      <c r="A310" s="2">
        <v>309</v>
      </c>
      <c r="B310" s="2" t="s">
        <v>1997</v>
      </c>
      <c r="C310" s="2"/>
      <c r="D310" s="2" t="s">
        <v>1944</v>
      </c>
      <c r="E310" s="2" t="s">
        <v>29</v>
      </c>
      <c r="F310" s="2" t="s">
        <v>1998</v>
      </c>
      <c r="G310" s="2" t="s">
        <v>1999</v>
      </c>
      <c r="H310" s="2" t="s">
        <v>2000</v>
      </c>
      <c r="I310" s="2" t="s">
        <v>2001</v>
      </c>
      <c r="J310" s="2" t="s">
        <v>2002</v>
      </c>
      <c r="K310" s="2" t="s">
        <v>27</v>
      </c>
      <c r="L310" s="2" t="s">
        <v>26</v>
      </c>
      <c r="M310" s="2"/>
      <c r="N310" s="2"/>
      <c r="O310" s="2" t="s">
        <v>1950</v>
      </c>
    </row>
    <row r="311" spans="1:15" ht="96" customHeight="1">
      <c r="A311" s="2">
        <v>310</v>
      </c>
      <c r="B311" s="2" t="s">
        <v>2003</v>
      </c>
      <c r="C311" s="2"/>
      <c r="D311" s="2" t="s">
        <v>1944</v>
      </c>
      <c r="E311" s="2" t="s">
        <v>29</v>
      </c>
      <c r="F311" s="2" t="s">
        <v>2004</v>
      </c>
      <c r="G311" s="2" t="s">
        <v>2005</v>
      </c>
      <c r="H311" s="2" t="s">
        <v>2006</v>
      </c>
      <c r="I311" s="2" t="s">
        <v>2007</v>
      </c>
      <c r="J311" s="2" t="s">
        <v>2008</v>
      </c>
      <c r="K311" s="2" t="s">
        <v>29</v>
      </c>
      <c r="L311" s="2" t="s">
        <v>26</v>
      </c>
      <c r="M311" s="2"/>
      <c r="N311" s="2"/>
      <c r="O311" s="2" t="s">
        <v>1950</v>
      </c>
    </row>
    <row r="312" spans="1:15" ht="96" customHeight="1">
      <c r="A312" s="2">
        <v>311</v>
      </c>
      <c r="B312" s="2" t="s">
        <v>2009</v>
      </c>
      <c r="C312" s="2"/>
      <c r="D312" s="2" t="s">
        <v>1944</v>
      </c>
      <c r="E312" s="2" t="s">
        <v>29</v>
      </c>
      <c r="F312" s="2" t="s">
        <v>2010</v>
      </c>
      <c r="G312" s="2" t="s">
        <v>2011</v>
      </c>
      <c r="H312" s="2" t="s">
        <v>2012</v>
      </c>
      <c r="I312" s="2" t="s">
        <v>2013</v>
      </c>
      <c r="J312" s="2" t="s">
        <v>2014</v>
      </c>
      <c r="K312" s="2" t="s">
        <v>27</v>
      </c>
      <c r="L312" s="2" t="s">
        <v>26</v>
      </c>
      <c r="M312" s="2"/>
      <c r="N312" s="2"/>
      <c r="O312" s="2" t="s">
        <v>1950</v>
      </c>
    </row>
    <row r="313" spans="1:15" ht="96" customHeight="1">
      <c r="A313" s="2">
        <v>312</v>
      </c>
      <c r="B313" s="2" t="s">
        <v>2015</v>
      </c>
      <c r="C313" s="2" t="s">
        <v>2016</v>
      </c>
      <c r="D313" s="2" t="s">
        <v>1944</v>
      </c>
      <c r="E313" s="2" t="s">
        <v>29</v>
      </c>
      <c r="F313" s="2" t="s">
        <v>2017</v>
      </c>
      <c r="G313" s="2" t="s">
        <v>2018</v>
      </c>
      <c r="H313" s="2" t="s">
        <v>2019</v>
      </c>
      <c r="I313" s="2" t="s">
        <v>2020</v>
      </c>
      <c r="J313" s="2" t="s">
        <v>2021</v>
      </c>
      <c r="K313" s="2" t="s">
        <v>27</v>
      </c>
      <c r="L313" s="2" t="s">
        <v>26</v>
      </c>
      <c r="M313" s="2"/>
      <c r="N313" s="2"/>
      <c r="O313" s="2" t="s">
        <v>1950</v>
      </c>
    </row>
    <row r="314" spans="1:15" ht="96" customHeight="1">
      <c r="A314" s="2">
        <v>313</v>
      </c>
      <c r="B314" s="2" t="s">
        <v>2022</v>
      </c>
      <c r="C314" s="2"/>
      <c r="D314" s="2" t="s">
        <v>1944</v>
      </c>
      <c r="E314" s="2" t="s">
        <v>74</v>
      </c>
      <c r="F314" s="2" t="s">
        <v>2023</v>
      </c>
      <c r="G314" s="2" t="s">
        <v>2024</v>
      </c>
      <c r="H314" s="2" t="s">
        <v>2025</v>
      </c>
      <c r="I314" s="2" t="s">
        <v>2026</v>
      </c>
      <c r="J314" s="2" t="s">
        <v>2027</v>
      </c>
      <c r="K314" s="2" t="s">
        <v>27</v>
      </c>
      <c r="L314" s="2" t="s">
        <v>26</v>
      </c>
      <c r="M314" s="2"/>
      <c r="N314" s="2"/>
      <c r="O314" s="2" t="s">
        <v>1950</v>
      </c>
    </row>
    <row r="315" spans="1:15" ht="96" customHeight="1">
      <c r="A315" s="2">
        <v>314</v>
      </c>
      <c r="B315" s="2" t="s">
        <v>2028</v>
      </c>
      <c r="C315" s="2"/>
      <c r="D315" s="2" t="s">
        <v>1944</v>
      </c>
      <c r="E315" s="2" t="s">
        <v>29</v>
      </c>
      <c r="F315" s="2" t="s">
        <v>2029</v>
      </c>
      <c r="G315" s="2" t="s">
        <v>2030</v>
      </c>
      <c r="H315" s="2" t="s">
        <v>2031</v>
      </c>
      <c r="I315" s="2" t="s">
        <v>2032</v>
      </c>
      <c r="J315" s="2" t="s">
        <v>2033</v>
      </c>
      <c r="K315" s="2" t="s">
        <v>29</v>
      </c>
      <c r="L315" s="2" t="s">
        <v>26</v>
      </c>
      <c r="M315" s="2"/>
      <c r="N315" s="2"/>
      <c r="O315" s="2" t="s">
        <v>1950</v>
      </c>
    </row>
    <row r="316" spans="1:15" ht="96" customHeight="1">
      <c r="A316" s="2">
        <v>315</v>
      </c>
      <c r="B316" s="2" t="s">
        <v>2034</v>
      </c>
      <c r="C316" s="2"/>
      <c r="D316" s="2" t="s">
        <v>1944</v>
      </c>
      <c r="E316" s="2" t="s">
        <v>74</v>
      </c>
      <c r="F316" s="2" t="s">
        <v>2035</v>
      </c>
      <c r="G316" s="2" t="s">
        <v>2036</v>
      </c>
      <c r="H316" s="2" t="s">
        <v>2037</v>
      </c>
      <c r="I316" s="2" t="s">
        <v>2038</v>
      </c>
      <c r="J316" s="2" t="s">
        <v>2039</v>
      </c>
      <c r="K316" s="2" t="s">
        <v>27</v>
      </c>
      <c r="L316" s="2" t="s">
        <v>26</v>
      </c>
      <c r="M316" s="2"/>
      <c r="N316" s="2"/>
      <c r="O316" s="2" t="s">
        <v>1950</v>
      </c>
    </row>
    <row r="317" spans="1:15" ht="96" customHeight="1">
      <c r="A317" s="2">
        <v>316</v>
      </c>
      <c r="B317" s="2" t="s">
        <v>2040</v>
      </c>
      <c r="C317" s="2"/>
      <c r="D317" s="2" t="s">
        <v>1944</v>
      </c>
      <c r="E317" s="2" t="s">
        <v>29</v>
      </c>
      <c r="F317" s="2" t="s">
        <v>2041</v>
      </c>
      <c r="G317" s="2" t="s">
        <v>2042</v>
      </c>
      <c r="H317" s="2" t="s">
        <v>2043</v>
      </c>
      <c r="I317" s="2" t="s">
        <v>2044</v>
      </c>
      <c r="J317" s="2" t="s">
        <v>2045</v>
      </c>
      <c r="K317" s="2" t="s">
        <v>27</v>
      </c>
      <c r="L317" s="2" t="s">
        <v>26</v>
      </c>
      <c r="M317" s="2"/>
      <c r="N317" s="2"/>
      <c r="O317" s="2" t="s">
        <v>1950</v>
      </c>
    </row>
    <row r="318" spans="1:15" ht="96" customHeight="1">
      <c r="A318" s="2">
        <v>317</v>
      </c>
      <c r="B318" s="2" t="s">
        <v>2046</v>
      </c>
      <c r="C318" s="2"/>
      <c r="D318" s="2" t="s">
        <v>1944</v>
      </c>
      <c r="E318" s="2" t="s">
        <v>29</v>
      </c>
      <c r="F318" s="2" t="s">
        <v>2047</v>
      </c>
      <c r="G318" s="2" t="s">
        <v>2048</v>
      </c>
      <c r="H318" s="2" t="s">
        <v>2049</v>
      </c>
      <c r="I318" s="2" t="s">
        <v>2050</v>
      </c>
      <c r="J318" s="2" t="s">
        <v>2051</v>
      </c>
      <c r="K318" s="2" t="s">
        <v>27</v>
      </c>
      <c r="L318" s="2" t="s">
        <v>26</v>
      </c>
      <c r="M318" s="2"/>
      <c r="N318" s="2"/>
      <c r="O318" s="2" t="s">
        <v>1950</v>
      </c>
    </row>
    <row r="319" spans="1:15" ht="96" customHeight="1">
      <c r="A319" s="2">
        <v>318</v>
      </c>
      <c r="B319" s="2" t="s">
        <v>2052</v>
      </c>
      <c r="C319" s="2"/>
      <c r="D319" s="2" t="s">
        <v>1944</v>
      </c>
      <c r="E319" s="2" t="s">
        <v>29</v>
      </c>
      <c r="F319" s="2" t="s">
        <v>2053</v>
      </c>
      <c r="G319" s="2" t="s">
        <v>2054</v>
      </c>
      <c r="H319" s="2" t="s">
        <v>2055</v>
      </c>
      <c r="I319" s="2" t="s">
        <v>2056</v>
      </c>
      <c r="J319" s="2" t="s">
        <v>2057</v>
      </c>
      <c r="K319" s="2" t="s">
        <v>27</v>
      </c>
      <c r="L319" s="2" t="s">
        <v>26</v>
      </c>
      <c r="M319" s="2"/>
      <c r="N319" s="2"/>
      <c r="O319" s="2" t="s">
        <v>1950</v>
      </c>
    </row>
    <row r="320" spans="1:15" ht="96" customHeight="1">
      <c r="A320" s="2">
        <v>319</v>
      </c>
      <c r="B320" s="2" t="s">
        <v>2058</v>
      </c>
      <c r="C320" s="2" t="s">
        <v>2059</v>
      </c>
      <c r="D320" s="2" t="s">
        <v>1944</v>
      </c>
      <c r="E320" s="2" t="s">
        <v>29</v>
      </c>
      <c r="F320" s="2" t="s">
        <v>2060</v>
      </c>
      <c r="G320" s="2" t="s">
        <v>2061</v>
      </c>
      <c r="H320" s="2" t="s">
        <v>2062</v>
      </c>
      <c r="I320" s="2" t="s">
        <v>2063</v>
      </c>
      <c r="J320" s="2" t="s">
        <v>2064</v>
      </c>
      <c r="K320" s="2" t="s">
        <v>27</v>
      </c>
      <c r="L320" s="2" t="s">
        <v>26</v>
      </c>
      <c r="M320" s="2"/>
      <c r="N320" s="2"/>
      <c r="O320" s="2" t="s">
        <v>1950</v>
      </c>
    </row>
    <row r="321" spans="1:15" ht="96" customHeight="1">
      <c r="A321" s="2">
        <v>320</v>
      </c>
      <c r="B321" s="2" t="s">
        <v>2065</v>
      </c>
      <c r="C321" s="2"/>
      <c r="D321" s="2" t="s">
        <v>1944</v>
      </c>
      <c r="E321" s="2" t="s">
        <v>29</v>
      </c>
      <c r="F321" s="2" t="s">
        <v>2066</v>
      </c>
      <c r="G321" s="2" t="s">
        <v>2067</v>
      </c>
      <c r="H321" s="2" t="s">
        <v>2068</v>
      </c>
      <c r="I321" s="2" t="s">
        <v>2069</v>
      </c>
      <c r="J321" s="2" t="s">
        <v>2070</v>
      </c>
      <c r="K321" s="2" t="s">
        <v>29</v>
      </c>
      <c r="L321" s="2" t="s">
        <v>26</v>
      </c>
      <c r="M321" s="2"/>
      <c r="N321" s="2"/>
      <c r="O321" s="2" t="s">
        <v>1950</v>
      </c>
    </row>
    <row r="322" spans="1:15" ht="96" customHeight="1">
      <c r="A322" s="2">
        <v>321</v>
      </c>
      <c r="B322" s="2" t="s">
        <v>2071</v>
      </c>
      <c r="C322" s="2"/>
      <c r="D322" s="2" t="s">
        <v>1944</v>
      </c>
      <c r="E322" s="2" t="s">
        <v>311</v>
      </c>
      <c r="F322" s="2" t="s">
        <v>2072</v>
      </c>
      <c r="G322" s="2" t="s">
        <v>2073</v>
      </c>
      <c r="H322" s="2" t="s">
        <v>2074</v>
      </c>
      <c r="I322" s="2" t="s">
        <v>2075</v>
      </c>
      <c r="J322" s="2" t="s">
        <v>2076</v>
      </c>
      <c r="K322" s="2" t="s">
        <v>31</v>
      </c>
      <c r="L322" s="2" t="s">
        <v>26</v>
      </c>
      <c r="M322" s="2"/>
      <c r="N322" s="2"/>
      <c r="O322" s="2" t="s">
        <v>1950</v>
      </c>
    </row>
    <row r="323" spans="1:15" ht="96" customHeight="1">
      <c r="A323" s="2">
        <v>322</v>
      </c>
      <c r="B323" s="2" t="s">
        <v>2077</v>
      </c>
      <c r="C323" s="2"/>
      <c r="D323" s="2" t="s">
        <v>1944</v>
      </c>
      <c r="E323" s="2" t="s">
        <v>29</v>
      </c>
      <c r="F323" s="2" t="s">
        <v>2078</v>
      </c>
      <c r="G323" s="2" t="s">
        <v>2079</v>
      </c>
      <c r="H323" s="2" t="s">
        <v>2080</v>
      </c>
      <c r="I323" s="2" t="s">
        <v>2081</v>
      </c>
      <c r="J323" s="2" t="s">
        <v>2082</v>
      </c>
      <c r="K323" s="2" t="s">
        <v>29</v>
      </c>
      <c r="L323" s="2" t="s">
        <v>26</v>
      </c>
      <c r="M323" s="2"/>
      <c r="N323" s="2"/>
      <c r="O323" s="2" t="s">
        <v>1950</v>
      </c>
    </row>
    <row r="324" spans="1:15" ht="96" customHeight="1">
      <c r="A324" s="2">
        <v>323</v>
      </c>
      <c r="B324" s="2" t="s">
        <v>2083</v>
      </c>
      <c r="C324" s="2"/>
      <c r="D324" s="2" t="s">
        <v>1944</v>
      </c>
      <c r="E324" s="2" t="s">
        <v>74</v>
      </c>
      <c r="F324" s="2" t="s">
        <v>2084</v>
      </c>
      <c r="G324" s="2" t="s">
        <v>2085</v>
      </c>
      <c r="H324" s="2" t="s">
        <v>2086</v>
      </c>
      <c r="I324" s="2" t="s">
        <v>2087</v>
      </c>
      <c r="J324" s="2" t="s">
        <v>2088</v>
      </c>
      <c r="K324" s="2" t="s">
        <v>27</v>
      </c>
      <c r="L324" s="2" t="s">
        <v>26</v>
      </c>
      <c r="M324" s="2"/>
      <c r="N324" s="2"/>
      <c r="O324" s="2" t="s">
        <v>1950</v>
      </c>
    </row>
    <row r="325" spans="1:15" ht="96" customHeight="1">
      <c r="A325" s="2">
        <v>324</v>
      </c>
      <c r="B325" s="2" t="s">
        <v>2089</v>
      </c>
      <c r="C325" s="2"/>
      <c r="D325" s="2" t="s">
        <v>1944</v>
      </c>
      <c r="E325" s="2" t="s">
        <v>29</v>
      </c>
      <c r="F325" s="2" t="s">
        <v>2090</v>
      </c>
      <c r="G325" s="2" t="s">
        <v>2091</v>
      </c>
      <c r="H325" s="2" t="s">
        <v>2092</v>
      </c>
      <c r="I325" s="2" t="s">
        <v>2093</v>
      </c>
      <c r="J325" s="2" t="s">
        <v>2094</v>
      </c>
      <c r="K325" s="2" t="s">
        <v>27</v>
      </c>
      <c r="L325" s="2" t="s">
        <v>26</v>
      </c>
      <c r="M325" s="2"/>
      <c r="N325" s="2"/>
      <c r="O325" s="2" t="s">
        <v>1950</v>
      </c>
    </row>
    <row r="326" spans="1:15" ht="96" customHeight="1">
      <c r="A326" s="2">
        <v>325</v>
      </c>
      <c r="B326" s="2" t="s">
        <v>2095</v>
      </c>
      <c r="C326" s="2"/>
      <c r="D326" s="2" t="s">
        <v>1944</v>
      </c>
      <c r="E326" s="2" t="s">
        <v>29</v>
      </c>
      <c r="F326" s="2" t="s">
        <v>2096</v>
      </c>
      <c r="G326" s="2" t="s">
        <v>2097</v>
      </c>
      <c r="H326" s="2" t="s">
        <v>2098</v>
      </c>
      <c r="I326" s="2" t="s">
        <v>2099</v>
      </c>
      <c r="J326" s="2" t="s">
        <v>2100</v>
      </c>
      <c r="K326" s="2" t="s">
        <v>27</v>
      </c>
      <c r="L326" s="2" t="s">
        <v>26</v>
      </c>
      <c r="M326" s="2"/>
      <c r="N326" s="2"/>
      <c r="O326" s="2" t="s">
        <v>1950</v>
      </c>
    </row>
    <row r="327" spans="1:15" ht="96" customHeight="1">
      <c r="A327" s="2">
        <v>326</v>
      </c>
      <c r="B327" s="2" t="s">
        <v>2101</v>
      </c>
      <c r="C327" s="2"/>
      <c r="D327" s="2" t="s">
        <v>1944</v>
      </c>
      <c r="E327" s="2" t="s">
        <v>29</v>
      </c>
      <c r="F327" s="2" t="s">
        <v>2102</v>
      </c>
      <c r="G327" s="2" t="s">
        <v>2103</v>
      </c>
      <c r="H327" s="2" t="s">
        <v>2104</v>
      </c>
      <c r="I327" s="2" t="s">
        <v>2105</v>
      </c>
      <c r="J327" s="2" t="s">
        <v>2106</v>
      </c>
      <c r="K327" s="2" t="s">
        <v>27</v>
      </c>
      <c r="L327" s="2" t="s">
        <v>26</v>
      </c>
      <c r="M327" s="2"/>
      <c r="N327" s="2"/>
      <c r="O327" s="2" t="s">
        <v>1950</v>
      </c>
    </row>
    <row r="328" spans="1:15" ht="96" customHeight="1">
      <c r="A328" s="2">
        <v>327</v>
      </c>
      <c r="B328" s="2" t="s">
        <v>2107</v>
      </c>
      <c r="C328" s="2"/>
      <c r="D328" s="2" t="s">
        <v>1944</v>
      </c>
      <c r="E328" s="2" t="s">
        <v>29</v>
      </c>
      <c r="F328" s="2" t="s">
        <v>2108</v>
      </c>
      <c r="G328" s="2" t="s">
        <v>2109</v>
      </c>
      <c r="H328" s="2" t="s">
        <v>2110</v>
      </c>
      <c r="I328" s="2" t="s">
        <v>2111</v>
      </c>
      <c r="J328" s="2" t="s">
        <v>2112</v>
      </c>
      <c r="K328" s="2" t="s">
        <v>27</v>
      </c>
      <c r="L328" s="2" t="s">
        <v>26</v>
      </c>
      <c r="M328" s="2"/>
      <c r="N328" s="2"/>
      <c r="O328" s="2" t="s">
        <v>1950</v>
      </c>
    </row>
    <row r="329" spans="1:15" ht="96" customHeight="1">
      <c r="A329" s="2">
        <v>328</v>
      </c>
      <c r="B329" s="2" t="s">
        <v>2113</v>
      </c>
      <c r="C329" s="2"/>
      <c r="D329" s="2" t="s">
        <v>1944</v>
      </c>
      <c r="E329" s="2" t="s">
        <v>29</v>
      </c>
      <c r="F329" s="2" t="s">
        <v>2114</v>
      </c>
      <c r="G329" s="2" t="s">
        <v>2115</v>
      </c>
      <c r="H329" s="2" t="s">
        <v>2116</v>
      </c>
      <c r="I329" s="2" t="s">
        <v>2117</v>
      </c>
      <c r="J329" s="2" t="s">
        <v>2118</v>
      </c>
      <c r="K329" s="2" t="s">
        <v>27</v>
      </c>
      <c r="L329" s="2" t="s">
        <v>26</v>
      </c>
      <c r="M329" s="2"/>
      <c r="N329" s="2"/>
      <c r="O329" s="2" t="s">
        <v>1950</v>
      </c>
    </row>
    <row r="330" spans="1:15" ht="96" customHeight="1">
      <c r="A330" s="2">
        <v>329</v>
      </c>
      <c r="B330" s="2" t="s">
        <v>2119</v>
      </c>
      <c r="C330" s="2"/>
      <c r="D330" s="2" t="s">
        <v>1944</v>
      </c>
      <c r="E330" s="2" t="s">
        <v>29</v>
      </c>
      <c r="F330" s="2" t="s">
        <v>2120</v>
      </c>
      <c r="G330" s="2" t="s">
        <v>2121</v>
      </c>
      <c r="H330" s="2" t="s">
        <v>2122</v>
      </c>
      <c r="I330" s="2" t="s">
        <v>2123</v>
      </c>
      <c r="J330" s="2" t="s">
        <v>2124</v>
      </c>
      <c r="K330" s="2" t="s">
        <v>27</v>
      </c>
      <c r="L330" s="2" t="s">
        <v>26</v>
      </c>
      <c r="M330" s="2"/>
      <c r="N330" s="2"/>
      <c r="O330" s="2" t="s">
        <v>1950</v>
      </c>
    </row>
    <row r="331" spans="1:15" ht="96" customHeight="1">
      <c r="A331" s="2">
        <v>330</v>
      </c>
      <c r="B331" s="2" t="s">
        <v>2125</v>
      </c>
      <c r="C331" s="2" t="s">
        <v>2126</v>
      </c>
      <c r="D331" s="2" t="s">
        <v>1944</v>
      </c>
      <c r="E331" s="2" t="s">
        <v>29</v>
      </c>
      <c r="F331" s="2" t="s">
        <v>2127</v>
      </c>
      <c r="G331" s="2" t="s">
        <v>2128</v>
      </c>
      <c r="H331" s="2" t="s">
        <v>2129</v>
      </c>
      <c r="I331" s="2" t="s">
        <v>2130</v>
      </c>
      <c r="J331" s="2" t="s">
        <v>2131</v>
      </c>
      <c r="K331" s="2" t="s">
        <v>27</v>
      </c>
      <c r="L331" s="2" t="s">
        <v>26</v>
      </c>
      <c r="M331" s="2"/>
      <c r="N331" s="2"/>
      <c r="O331" s="2" t="s">
        <v>1950</v>
      </c>
    </row>
    <row r="332" spans="1:15" ht="96" customHeight="1">
      <c r="A332" s="2">
        <v>331</v>
      </c>
      <c r="B332" s="2" t="s">
        <v>2132</v>
      </c>
      <c r="C332" s="2"/>
      <c r="D332" s="2" t="s">
        <v>1944</v>
      </c>
      <c r="E332" s="2" t="s">
        <v>29</v>
      </c>
      <c r="F332" s="2" t="s">
        <v>2133</v>
      </c>
      <c r="G332" s="2" t="s">
        <v>2134</v>
      </c>
      <c r="H332" s="2" t="s">
        <v>2135</v>
      </c>
      <c r="I332" s="2" t="s">
        <v>2136</v>
      </c>
      <c r="J332" s="2" t="s">
        <v>2137</v>
      </c>
      <c r="K332" s="2" t="s">
        <v>27</v>
      </c>
      <c r="L332" s="2" t="s">
        <v>26</v>
      </c>
      <c r="M332" s="2"/>
      <c r="N332" s="2"/>
      <c r="O332" s="2" t="s">
        <v>1950</v>
      </c>
    </row>
    <row r="333" spans="1:15" ht="96" customHeight="1">
      <c r="A333" s="2">
        <v>332</v>
      </c>
      <c r="B333" s="2" t="s">
        <v>2138</v>
      </c>
      <c r="C333" s="2"/>
      <c r="D333" s="2" t="s">
        <v>1944</v>
      </c>
      <c r="E333" s="2" t="s">
        <v>29</v>
      </c>
      <c r="F333" s="2" t="s">
        <v>2139</v>
      </c>
      <c r="G333" s="2" t="s">
        <v>2140</v>
      </c>
      <c r="H333" s="2" t="s">
        <v>2141</v>
      </c>
      <c r="I333" s="2" t="s">
        <v>2142</v>
      </c>
      <c r="J333" s="2" t="s">
        <v>2143</v>
      </c>
      <c r="K333" s="2" t="s">
        <v>29</v>
      </c>
      <c r="L333" s="2" t="s">
        <v>26</v>
      </c>
      <c r="M333" s="2"/>
      <c r="N333" s="2"/>
      <c r="O333" s="2" t="s">
        <v>1950</v>
      </c>
    </row>
    <row r="334" spans="1:15" ht="96" customHeight="1">
      <c r="A334" s="2">
        <v>333</v>
      </c>
      <c r="B334" s="2" t="s">
        <v>2144</v>
      </c>
      <c r="C334" s="2"/>
      <c r="D334" s="2" t="s">
        <v>1944</v>
      </c>
      <c r="E334" s="2" t="s">
        <v>29</v>
      </c>
      <c r="F334" s="2" t="s">
        <v>2145</v>
      </c>
      <c r="G334" s="2" t="s">
        <v>2146</v>
      </c>
      <c r="H334" s="2" t="s">
        <v>2147</v>
      </c>
      <c r="I334" s="2" t="s">
        <v>2148</v>
      </c>
      <c r="J334" s="2" t="s">
        <v>2149</v>
      </c>
      <c r="K334" s="2" t="s">
        <v>29</v>
      </c>
      <c r="L334" s="2" t="s">
        <v>26</v>
      </c>
      <c r="M334" s="2"/>
      <c r="N334" s="2"/>
      <c r="O334" s="2" t="s">
        <v>1950</v>
      </c>
    </row>
    <row r="335" spans="1:15" ht="96" customHeight="1">
      <c r="A335" s="2">
        <v>334</v>
      </c>
      <c r="B335" s="2" t="s">
        <v>2150</v>
      </c>
      <c r="C335" s="2"/>
      <c r="D335" s="2" t="s">
        <v>1944</v>
      </c>
      <c r="E335" s="2" t="s">
        <v>311</v>
      </c>
      <c r="F335" s="2" t="s">
        <v>2151</v>
      </c>
      <c r="G335" s="2" t="s">
        <v>2152</v>
      </c>
      <c r="H335" s="2" t="s">
        <v>2153</v>
      </c>
      <c r="I335" s="2" t="s">
        <v>2154</v>
      </c>
      <c r="J335" s="2" t="s">
        <v>2155</v>
      </c>
      <c r="K335" s="2" t="s">
        <v>29</v>
      </c>
      <c r="L335" s="2" t="s">
        <v>26</v>
      </c>
      <c r="M335" s="2"/>
      <c r="N335" s="2"/>
      <c r="O335" s="2" t="s">
        <v>1950</v>
      </c>
    </row>
    <row r="336" spans="1:15" ht="96" customHeight="1">
      <c r="A336" s="2">
        <v>335</v>
      </c>
      <c r="B336" s="2" t="s">
        <v>2156</v>
      </c>
      <c r="C336" s="2"/>
      <c r="D336" s="2" t="s">
        <v>1944</v>
      </c>
      <c r="E336" s="2" t="s">
        <v>311</v>
      </c>
      <c r="F336" s="2" t="s">
        <v>2157</v>
      </c>
      <c r="G336" s="2" t="s">
        <v>2158</v>
      </c>
      <c r="H336" s="2" t="s">
        <v>2159</v>
      </c>
      <c r="I336" s="2" t="s">
        <v>2160</v>
      </c>
      <c r="J336" s="2" t="s">
        <v>2161</v>
      </c>
      <c r="K336" s="2" t="s">
        <v>29</v>
      </c>
      <c r="L336" s="2" t="s">
        <v>26</v>
      </c>
      <c r="M336" s="2"/>
      <c r="N336" s="2"/>
      <c r="O336" s="2" t="s">
        <v>1950</v>
      </c>
    </row>
    <row r="337" spans="1:15" ht="96" customHeight="1">
      <c r="A337" s="2">
        <v>336</v>
      </c>
      <c r="B337" s="2" t="s">
        <v>2162</v>
      </c>
      <c r="C337" s="2"/>
      <c r="D337" s="2" t="s">
        <v>1944</v>
      </c>
      <c r="E337" s="2" t="s">
        <v>29</v>
      </c>
      <c r="F337" s="2" t="s">
        <v>2163</v>
      </c>
      <c r="G337" s="2" t="s">
        <v>2164</v>
      </c>
      <c r="H337" s="2" t="s">
        <v>2165</v>
      </c>
      <c r="I337" s="2" t="s">
        <v>2166</v>
      </c>
      <c r="J337" s="2" t="s">
        <v>2167</v>
      </c>
      <c r="K337" s="2" t="s">
        <v>29</v>
      </c>
      <c r="L337" s="2" t="s">
        <v>26</v>
      </c>
      <c r="M337" s="2"/>
      <c r="N337" s="2"/>
      <c r="O337" s="2" t="s">
        <v>1950</v>
      </c>
    </row>
    <row r="338" spans="1:15" ht="96" customHeight="1">
      <c r="A338" s="2">
        <v>337</v>
      </c>
      <c r="B338" s="2" t="s">
        <v>2168</v>
      </c>
      <c r="C338" s="2" t="s">
        <v>2169</v>
      </c>
      <c r="D338" s="2" t="s">
        <v>1944</v>
      </c>
      <c r="E338" s="2" t="s">
        <v>311</v>
      </c>
      <c r="F338" s="2" t="s">
        <v>2170</v>
      </c>
      <c r="G338" s="2" t="s">
        <v>2171</v>
      </c>
      <c r="H338" s="2" t="s">
        <v>2172</v>
      </c>
      <c r="I338" s="2" t="s">
        <v>2173</v>
      </c>
      <c r="J338" s="2" t="s">
        <v>2174</v>
      </c>
      <c r="K338" s="2" t="s">
        <v>29</v>
      </c>
      <c r="L338" s="2" t="s">
        <v>26</v>
      </c>
      <c r="M338" s="2"/>
      <c r="N338" s="2"/>
      <c r="O338" s="2" t="s">
        <v>1950</v>
      </c>
    </row>
    <row r="339" spans="1:15" ht="96" customHeight="1">
      <c r="A339" s="2">
        <v>338</v>
      </c>
      <c r="B339" s="2" t="s">
        <v>2175</v>
      </c>
      <c r="C339" s="2"/>
      <c r="D339" s="2" t="s">
        <v>1944</v>
      </c>
      <c r="E339" s="2" t="s">
        <v>311</v>
      </c>
      <c r="F339" s="2" t="s">
        <v>2176</v>
      </c>
      <c r="G339" s="2" t="s">
        <v>2177</v>
      </c>
      <c r="H339" s="2" t="s">
        <v>2178</v>
      </c>
      <c r="I339" s="2" t="s">
        <v>2179</v>
      </c>
      <c r="J339" s="2" t="s">
        <v>2180</v>
      </c>
      <c r="K339" s="2" t="s">
        <v>29</v>
      </c>
      <c r="L339" s="2" t="s">
        <v>26</v>
      </c>
      <c r="M339" s="2"/>
      <c r="N339" s="2"/>
      <c r="O339" s="2" t="s">
        <v>1950</v>
      </c>
    </row>
    <row r="340" spans="1:15" ht="96" customHeight="1">
      <c r="A340" s="2">
        <v>339</v>
      </c>
      <c r="B340" s="2" t="s">
        <v>2181</v>
      </c>
      <c r="C340" s="2"/>
      <c r="D340" s="2" t="s">
        <v>1944</v>
      </c>
      <c r="E340" s="2" t="s">
        <v>311</v>
      </c>
      <c r="F340" s="2" t="s">
        <v>2182</v>
      </c>
      <c r="G340" s="2" t="s">
        <v>2183</v>
      </c>
      <c r="H340" s="2" t="s">
        <v>2184</v>
      </c>
      <c r="I340" s="2" t="s">
        <v>2185</v>
      </c>
      <c r="J340" s="2" t="s">
        <v>2186</v>
      </c>
      <c r="K340" s="2" t="s">
        <v>27</v>
      </c>
      <c r="L340" s="2" t="s">
        <v>26</v>
      </c>
      <c r="M340" s="2"/>
      <c r="N340" s="2"/>
      <c r="O340" s="2" t="s">
        <v>1950</v>
      </c>
    </row>
    <row r="341" spans="1:15" ht="96" customHeight="1">
      <c r="A341" s="2">
        <v>340</v>
      </c>
      <c r="B341" s="2" t="s">
        <v>2187</v>
      </c>
      <c r="C341" s="2"/>
      <c r="D341" s="2" t="s">
        <v>1944</v>
      </c>
      <c r="E341" s="2" t="s">
        <v>311</v>
      </c>
      <c r="F341" s="2" t="s">
        <v>2188</v>
      </c>
      <c r="G341" s="2" t="s">
        <v>2189</v>
      </c>
      <c r="H341" s="2" t="s">
        <v>2190</v>
      </c>
      <c r="I341" s="2" t="s">
        <v>2191</v>
      </c>
      <c r="J341" s="2" t="s">
        <v>2192</v>
      </c>
      <c r="K341" s="2" t="s">
        <v>29</v>
      </c>
      <c r="L341" s="2" t="s">
        <v>26</v>
      </c>
      <c r="M341" s="2"/>
      <c r="N341" s="2"/>
      <c r="O341" s="2" t="s">
        <v>1950</v>
      </c>
    </row>
    <row r="342" spans="1:15" ht="96" customHeight="1">
      <c r="A342" s="2">
        <v>341</v>
      </c>
      <c r="B342" s="2" t="s">
        <v>2193</v>
      </c>
      <c r="C342" s="2"/>
      <c r="D342" s="2" t="s">
        <v>1944</v>
      </c>
      <c r="E342" s="2" t="s">
        <v>311</v>
      </c>
      <c r="F342" s="2" t="s">
        <v>2194</v>
      </c>
      <c r="G342" s="2" t="s">
        <v>2195</v>
      </c>
      <c r="H342" s="2" t="s">
        <v>2196</v>
      </c>
      <c r="I342" s="2" t="s">
        <v>2197</v>
      </c>
      <c r="J342" s="2" t="s">
        <v>2198</v>
      </c>
      <c r="K342" s="2" t="s">
        <v>29</v>
      </c>
      <c r="L342" s="2" t="s">
        <v>26</v>
      </c>
      <c r="M342" s="2"/>
      <c r="N342" s="2"/>
      <c r="O342" s="2" t="s">
        <v>1950</v>
      </c>
    </row>
  </sheetData>
  <conditionalFormatting sqref="K2:K342">
    <cfRule type="expression" dxfId="11" priority="4">
      <formula>K2="Essential"</formula>
    </cfRule>
    <cfRule type="expression" dxfId="10" priority="5">
      <formula>K2="Core"</formula>
    </cfRule>
  </conditionalFormatting>
  <conditionalFormatting sqref="L2:L342">
    <cfRule type="expression" dxfId="9" priority="1">
      <formula>INDIRECT("RC",FALSE)="Confident"</formula>
    </cfRule>
    <cfRule type="expression" dxfId="8" priority="2">
      <formula>INDIRECT("RC",FALSE)="Learning"</formula>
    </cfRule>
    <cfRule type="expression" dxfId="7" priority="3">
      <formula>INDIRECT("RC",FALSE)="Reviewed"</formula>
    </cfRule>
  </conditionalFormatting>
  <dataValidations count="2">
    <dataValidation type="list" sqref="L2:L342" xr:uid="{00000000-0002-0000-0100-000000000000}">
      <formula1>"Not started,Learning,Reviewed,Confident"</formula1>
    </dataValidation>
    <dataValidation type="list" sqref="M2:M342" xr:uid="{00000000-0002-0000-01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5"/>
  <sheetViews>
    <sheetView topLeftCell="I1" workbookViewId="0"/>
  </sheetViews>
  <sheetFormatPr baseColWidth="10" defaultColWidth="8.83203125" defaultRowHeight="15"/>
  <cols>
    <col min="1" max="1" width="7" customWidth="1"/>
    <col min="2" max="2" width="33" customWidth="1"/>
    <col min="3" max="3" width="24" customWidth="1"/>
    <col min="4" max="4" width="12" customWidth="1"/>
    <col min="5" max="5" width="34" customWidth="1"/>
    <col min="6" max="6" width="31" customWidth="1"/>
    <col min="7" max="7" width="45" customWidth="1"/>
    <col min="8" max="9" width="31" customWidth="1"/>
    <col min="10" max="10" width="37" customWidth="1"/>
    <col min="11" max="11" width="36" customWidth="1"/>
    <col min="12" max="12" width="34" customWidth="1"/>
    <col min="13" max="13" width="13" customWidth="1"/>
    <col min="14" max="14" width="12" customWidth="1"/>
    <col min="15" max="15" width="14" customWidth="1"/>
    <col min="16" max="16" width="36" customWidth="1"/>
    <col min="17" max="17" width="35" customWidth="1"/>
  </cols>
  <sheetData>
    <row r="1" spans="1:17" ht="32">
      <c r="A1" s="1" t="s">
        <v>59</v>
      </c>
      <c r="B1" s="1" t="s">
        <v>2199</v>
      </c>
      <c r="C1" s="1" t="s">
        <v>2200</v>
      </c>
      <c r="D1" s="1" t="s">
        <v>63</v>
      </c>
      <c r="E1" s="1" t="s">
        <v>2201</v>
      </c>
      <c r="F1" s="1" t="s">
        <v>2202</v>
      </c>
      <c r="G1" s="1" t="s">
        <v>2203</v>
      </c>
      <c r="H1" s="1" t="s">
        <v>2204</v>
      </c>
      <c r="I1" s="1" t="s">
        <v>2205</v>
      </c>
      <c r="J1" s="1" t="s">
        <v>2206</v>
      </c>
      <c r="K1" s="1" t="s">
        <v>2207</v>
      </c>
      <c r="L1" s="1" t="s">
        <v>2208</v>
      </c>
      <c r="M1" s="1" t="s">
        <v>2209</v>
      </c>
      <c r="N1" s="1" t="s">
        <v>25</v>
      </c>
      <c r="O1" s="1" t="s">
        <v>69</v>
      </c>
      <c r="P1" s="1" t="s">
        <v>71</v>
      </c>
      <c r="Q1" s="1" t="s">
        <v>72</v>
      </c>
    </row>
    <row r="2" spans="1:17" ht="117.25" customHeight="1">
      <c r="A2" s="2">
        <v>1</v>
      </c>
      <c r="B2" s="2" t="s">
        <v>2210</v>
      </c>
      <c r="C2" s="2" t="s">
        <v>2211</v>
      </c>
      <c r="D2" s="2" t="s">
        <v>74</v>
      </c>
      <c r="E2" s="2" t="s">
        <v>2212</v>
      </c>
      <c r="F2" s="2" t="s">
        <v>2213</v>
      </c>
      <c r="G2" s="2" t="s">
        <v>2214</v>
      </c>
      <c r="H2" s="2" t="s">
        <v>2215</v>
      </c>
      <c r="I2" s="2" t="s">
        <v>2216</v>
      </c>
      <c r="J2" s="2" t="s">
        <v>2217</v>
      </c>
      <c r="K2" s="2" t="s">
        <v>2218</v>
      </c>
      <c r="L2" s="2" t="s">
        <v>2219</v>
      </c>
      <c r="M2" s="2" t="s">
        <v>2220</v>
      </c>
      <c r="N2" s="2" t="s">
        <v>27</v>
      </c>
      <c r="O2" s="2" t="s">
        <v>26</v>
      </c>
      <c r="P2" s="2"/>
      <c r="Q2" s="2" t="s">
        <v>80</v>
      </c>
    </row>
    <row r="3" spans="1:17" ht="117.25" customHeight="1">
      <c r="A3" s="2">
        <v>2</v>
      </c>
      <c r="B3" s="2" t="s">
        <v>2221</v>
      </c>
      <c r="C3" s="2" t="s">
        <v>2211</v>
      </c>
      <c r="D3" s="2" t="s">
        <v>29</v>
      </c>
      <c r="E3" s="2" t="s">
        <v>2222</v>
      </c>
      <c r="F3" s="2" t="s">
        <v>2223</v>
      </c>
      <c r="G3" s="2" t="s">
        <v>2224</v>
      </c>
      <c r="H3" s="2" t="s">
        <v>2225</v>
      </c>
      <c r="I3" s="2" t="s">
        <v>2226</v>
      </c>
      <c r="J3" s="2" t="s">
        <v>2227</v>
      </c>
      <c r="K3" s="2" t="s">
        <v>2228</v>
      </c>
      <c r="L3" s="2" t="s">
        <v>2229</v>
      </c>
      <c r="M3" s="2" t="s">
        <v>2220</v>
      </c>
      <c r="N3" s="2" t="s">
        <v>27</v>
      </c>
      <c r="O3" s="2" t="s">
        <v>26</v>
      </c>
      <c r="P3" s="2"/>
      <c r="Q3" s="2" t="s">
        <v>80</v>
      </c>
    </row>
    <row r="4" spans="1:17" ht="117.25" customHeight="1">
      <c r="A4" s="2">
        <v>3</v>
      </c>
      <c r="B4" s="2" t="s">
        <v>2230</v>
      </c>
      <c r="C4" s="2" t="s">
        <v>2211</v>
      </c>
      <c r="D4" s="2" t="s">
        <v>29</v>
      </c>
      <c r="E4" s="2" t="s">
        <v>2231</v>
      </c>
      <c r="F4" s="2" t="s">
        <v>2232</v>
      </c>
      <c r="G4" s="2" t="s">
        <v>2233</v>
      </c>
      <c r="H4" s="2" t="s">
        <v>2234</v>
      </c>
      <c r="I4" s="2" t="s">
        <v>2235</v>
      </c>
      <c r="J4" s="2" t="s">
        <v>2236</v>
      </c>
      <c r="K4" s="2" t="s">
        <v>2237</v>
      </c>
      <c r="L4" s="2" t="s">
        <v>2229</v>
      </c>
      <c r="M4" s="2" t="s">
        <v>2220</v>
      </c>
      <c r="N4" s="2" t="s">
        <v>27</v>
      </c>
      <c r="O4" s="2" t="s">
        <v>26</v>
      </c>
      <c r="P4" s="2"/>
      <c r="Q4" s="2" t="s">
        <v>80</v>
      </c>
    </row>
    <row r="5" spans="1:17" ht="117.25" customHeight="1">
      <c r="A5" s="2">
        <v>4</v>
      </c>
      <c r="B5" s="2" t="s">
        <v>2238</v>
      </c>
      <c r="C5" s="2" t="s">
        <v>2211</v>
      </c>
      <c r="D5" s="2" t="s">
        <v>74</v>
      </c>
      <c r="E5" s="2" t="s">
        <v>2239</v>
      </c>
      <c r="F5" s="2" t="s">
        <v>2240</v>
      </c>
      <c r="G5" s="2" t="s">
        <v>2241</v>
      </c>
      <c r="H5" s="2" t="s">
        <v>2242</v>
      </c>
      <c r="I5" s="2" t="s">
        <v>2243</v>
      </c>
      <c r="J5" s="2" t="s">
        <v>2244</v>
      </c>
      <c r="K5" s="2" t="s">
        <v>2245</v>
      </c>
      <c r="L5" s="2" t="s">
        <v>2246</v>
      </c>
      <c r="M5" s="2" t="s">
        <v>2220</v>
      </c>
      <c r="N5" s="2" t="s">
        <v>29</v>
      </c>
      <c r="O5" s="2" t="s">
        <v>26</v>
      </c>
      <c r="P5" s="2"/>
      <c r="Q5" s="2" t="s">
        <v>80</v>
      </c>
    </row>
    <row r="6" spans="1:17" ht="117.25" customHeight="1">
      <c r="A6" s="2">
        <v>5</v>
      </c>
      <c r="B6" s="2" t="s">
        <v>2247</v>
      </c>
      <c r="C6" s="2" t="s">
        <v>2248</v>
      </c>
      <c r="D6" s="2" t="s">
        <v>74</v>
      </c>
      <c r="E6" s="2" t="s">
        <v>2249</v>
      </c>
      <c r="F6" s="2" t="s">
        <v>2250</v>
      </c>
      <c r="G6" s="2" t="s">
        <v>2251</v>
      </c>
      <c r="H6" s="2" t="s">
        <v>2252</v>
      </c>
      <c r="I6" s="2" t="s">
        <v>2253</v>
      </c>
      <c r="J6" s="2" t="s">
        <v>2254</v>
      </c>
      <c r="K6" s="2" t="s">
        <v>2255</v>
      </c>
      <c r="L6" s="2" t="s">
        <v>2256</v>
      </c>
      <c r="M6" s="2" t="s">
        <v>2220</v>
      </c>
      <c r="N6" s="2" t="s">
        <v>27</v>
      </c>
      <c r="O6" s="2" t="s">
        <v>26</v>
      </c>
      <c r="P6" s="2"/>
      <c r="Q6" s="2" t="s">
        <v>80</v>
      </c>
    </row>
    <row r="7" spans="1:17" ht="117.25" customHeight="1">
      <c r="A7" s="2">
        <v>6</v>
      </c>
      <c r="B7" s="2" t="s">
        <v>2257</v>
      </c>
      <c r="C7" s="2" t="s">
        <v>2248</v>
      </c>
      <c r="D7" s="2" t="s">
        <v>74</v>
      </c>
      <c r="E7" s="2" t="s">
        <v>2258</v>
      </c>
      <c r="F7" s="2" t="s">
        <v>2259</v>
      </c>
      <c r="G7" s="2" t="s">
        <v>2260</v>
      </c>
      <c r="H7" s="2" t="s">
        <v>2261</v>
      </c>
      <c r="I7" s="2" t="s">
        <v>2262</v>
      </c>
      <c r="J7" s="2" t="s">
        <v>2263</v>
      </c>
      <c r="K7" s="2" t="s">
        <v>2264</v>
      </c>
      <c r="L7" s="2" t="s">
        <v>2256</v>
      </c>
      <c r="M7" s="2" t="s">
        <v>2220</v>
      </c>
      <c r="N7" s="2" t="s">
        <v>27</v>
      </c>
      <c r="O7" s="2" t="s">
        <v>26</v>
      </c>
      <c r="P7" s="2"/>
      <c r="Q7" s="2" t="s">
        <v>80</v>
      </c>
    </row>
    <row r="8" spans="1:17" ht="117.25" customHeight="1">
      <c r="A8" s="2">
        <v>7</v>
      </c>
      <c r="B8" s="2" t="s">
        <v>2265</v>
      </c>
      <c r="C8" s="2" t="s">
        <v>51</v>
      </c>
      <c r="D8" s="2" t="s">
        <v>74</v>
      </c>
      <c r="E8" s="2" t="s">
        <v>2266</v>
      </c>
      <c r="F8" s="2" t="s">
        <v>2267</v>
      </c>
      <c r="G8" s="2" t="s">
        <v>2268</v>
      </c>
      <c r="H8" s="2" t="s">
        <v>2269</v>
      </c>
      <c r="I8" s="2" t="s">
        <v>2270</v>
      </c>
      <c r="J8" s="2" t="s">
        <v>2271</v>
      </c>
      <c r="K8" s="2" t="s">
        <v>2272</v>
      </c>
      <c r="L8" s="2" t="s">
        <v>2273</v>
      </c>
      <c r="M8" s="2" t="s">
        <v>2274</v>
      </c>
      <c r="N8" s="2" t="s">
        <v>29</v>
      </c>
      <c r="O8" s="2" t="s">
        <v>26</v>
      </c>
      <c r="P8" s="2"/>
      <c r="Q8" s="2" t="s">
        <v>336</v>
      </c>
    </row>
    <row r="9" spans="1:17" ht="117.25" customHeight="1">
      <c r="A9" s="2">
        <v>8</v>
      </c>
      <c r="B9" s="2" t="s">
        <v>2275</v>
      </c>
      <c r="C9" s="2" t="s">
        <v>51</v>
      </c>
      <c r="D9" s="2" t="s">
        <v>74</v>
      </c>
      <c r="E9" s="2" t="s">
        <v>2276</v>
      </c>
      <c r="F9" s="2" t="s">
        <v>2277</v>
      </c>
      <c r="G9" s="2" t="s">
        <v>2278</v>
      </c>
      <c r="H9" s="2" t="s">
        <v>2279</v>
      </c>
      <c r="I9" s="2" t="s">
        <v>2280</v>
      </c>
      <c r="J9" s="2" t="s">
        <v>2281</v>
      </c>
      <c r="K9" s="2" t="s">
        <v>2282</v>
      </c>
      <c r="L9" s="2" t="s">
        <v>2283</v>
      </c>
      <c r="M9" s="2" t="s">
        <v>2274</v>
      </c>
      <c r="N9" s="2" t="s">
        <v>27</v>
      </c>
      <c r="O9" s="2" t="s">
        <v>26</v>
      </c>
      <c r="P9" s="2"/>
      <c r="Q9" s="2" t="s">
        <v>741</v>
      </c>
    </row>
    <row r="10" spans="1:17" ht="117.25" customHeight="1">
      <c r="A10" s="2">
        <v>9</v>
      </c>
      <c r="B10" s="2" t="s">
        <v>2284</v>
      </c>
      <c r="C10" s="2" t="s">
        <v>51</v>
      </c>
      <c r="D10" s="2" t="s">
        <v>29</v>
      </c>
      <c r="E10" s="2" t="s">
        <v>2285</v>
      </c>
      <c r="F10" s="2" t="s">
        <v>2286</v>
      </c>
      <c r="G10" s="2" t="s">
        <v>2287</v>
      </c>
      <c r="H10" s="2" t="s">
        <v>2288</v>
      </c>
      <c r="I10" s="2" t="s">
        <v>2289</v>
      </c>
      <c r="J10" s="2" t="s">
        <v>2290</v>
      </c>
      <c r="K10" s="2" t="s">
        <v>2291</v>
      </c>
      <c r="L10" s="2" t="s">
        <v>2292</v>
      </c>
      <c r="M10" s="2" t="s">
        <v>2274</v>
      </c>
      <c r="N10" s="2" t="s">
        <v>27</v>
      </c>
      <c r="O10" s="2" t="s">
        <v>26</v>
      </c>
      <c r="P10" s="2"/>
      <c r="Q10" s="2" t="s">
        <v>741</v>
      </c>
    </row>
    <row r="11" spans="1:17" ht="117.25" customHeight="1">
      <c r="A11" s="2">
        <v>10</v>
      </c>
      <c r="B11" s="2" t="s">
        <v>2293</v>
      </c>
      <c r="C11" s="2" t="s">
        <v>51</v>
      </c>
      <c r="D11" s="2" t="s">
        <v>29</v>
      </c>
      <c r="E11" s="2" t="s">
        <v>2294</v>
      </c>
      <c r="F11" s="2" t="s">
        <v>2295</v>
      </c>
      <c r="G11" s="2" t="s">
        <v>2296</v>
      </c>
      <c r="H11" s="2" t="s">
        <v>2297</v>
      </c>
      <c r="I11" s="2" t="s">
        <v>2298</v>
      </c>
      <c r="J11" s="2" t="s">
        <v>2299</v>
      </c>
      <c r="K11" s="2" t="s">
        <v>2300</v>
      </c>
      <c r="L11" s="2" t="s">
        <v>2301</v>
      </c>
      <c r="M11" s="2" t="s">
        <v>2302</v>
      </c>
      <c r="N11" s="2" t="s">
        <v>29</v>
      </c>
      <c r="O11" s="2" t="s">
        <v>26</v>
      </c>
      <c r="P11" s="2"/>
      <c r="Q11" s="2" t="s">
        <v>741</v>
      </c>
    </row>
    <row r="12" spans="1:17" ht="117.25" customHeight="1">
      <c r="A12" s="2">
        <v>11</v>
      </c>
      <c r="B12" s="2" t="s">
        <v>2303</v>
      </c>
      <c r="C12" s="2" t="s">
        <v>51</v>
      </c>
      <c r="D12" s="2" t="s">
        <v>29</v>
      </c>
      <c r="E12" s="2" t="s">
        <v>2304</v>
      </c>
      <c r="F12" s="2" t="s">
        <v>2305</v>
      </c>
      <c r="G12" s="2" t="s">
        <v>2306</v>
      </c>
      <c r="H12" s="2" t="s">
        <v>2307</v>
      </c>
      <c r="I12" s="2" t="s">
        <v>2308</v>
      </c>
      <c r="J12" s="2" t="s">
        <v>2309</v>
      </c>
      <c r="K12" s="2" t="s">
        <v>2310</v>
      </c>
      <c r="L12" s="2" t="s">
        <v>2311</v>
      </c>
      <c r="M12" s="2" t="s">
        <v>2302</v>
      </c>
      <c r="N12" s="2" t="s">
        <v>27</v>
      </c>
      <c r="O12" s="2" t="s">
        <v>26</v>
      </c>
      <c r="P12" s="2"/>
      <c r="Q12" s="2" t="s">
        <v>336</v>
      </c>
    </row>
    <row r="13" spans="1:17" ht="117.25" customHeight="1">
      <c r="A13" s="2">
        <v>12</v>
      </c>
      <c r="B13" s="2" t="s">
        <v>2312</v>
      </c>
      <c r="C13" s="2" t="s">
        <v>51</v>
      </c>
      <c r="D13" s="2" t="s">
        <v>29</v>
      </c>
      <c r="E13" s="2" t="s">
        <v>2313</v>
      </c>
      <c r="F13" s="2" t="s">
        <v>2305</v>
      </c>
      <c r="G13" s="2" t="s">
        <v>2314</v>
      </c>
      <c r="H13" s="2" t="s">
        <v>2315</v>
      </c>
      <c r="I13" s="2" t="s">
        <v>2316</v>
      </c>
      <c r="J13" s="2" t="s">
        <v>2317</v>
      </c>
      <c r="K13" s="2" t="s">
        <v>2318</v>
      </c>
      <c r="L13" s="2" t="s">
        <v>2319</v>
      </c>
      <c r="M13" s="2" t="s">
        <v>2302</v>
      </c>
      <c r="N13" s="2" t="s">
        <v>29</v>
      </c>
      <c r="O13" s="2" t="s">
        <v>26</v>
      </c>
      <c r="P13" s="2"/>
      <c r="Q13" s="2" t="s">
        <v>336</v>
      </c>
    </row>
    <row r="14" spans="1:17" ht="117.25" customHeight="1">
      <c r="A14" s="2">
        <v>13</v>
      </c>
      <c r="B14" s="2" t="s">
        <v>2320</v>
      </c>
      <c r="C14" s="2" t="s">
        <v>51</v>
      </c>
      <c r="D14" s="2" t="s">
        <v>29</v>
      </c>
      <c r="E14" s="2" t="s">
        <v>2321</v>
      </c>
      <c r="F14" s="2" t="s">
        <v>2322</v>
      </c>
      <c r="G14" s="2" t="s">
        <v>2323</v>
      </c>
      <c r="H14" s="2" t="s">
        <v>2324</v>
      </c>
      <c r="I14" s="2" t="s">
        <v>2325</v>
      </c>
      <c r="J14" s="2" t="s">
        <v>2326</v>
      </c>
      <c r="K14" s="2" t="s">
        <v>2327</v>
      </c>
      <c r="L14" s="2" t="s">
        <v>2328</v>
      </c>
      <c r="M14" s="2" t="s">
        <v>2274</v>
      </c>
      <c r="N14" s="2" t="s">
        <v>29</v>
      </c>
      <c r="O14" s="2" t="s">
        <v>26</v>
      </c>
      <c r="P14" s="2"/>
      <c r="Q14" s="2" t="s">
        <v>336</v>
      </c>
    </row>
    <row r="15" spans="1:17" ht="117.25" customHeight="1">
      <c r="A15" s="2">
        <v>14</v>
      </c>
      <c r="B15" s="2" t="s">
        <v>2329</v>
      </c>
      <c r="C15" s="2" t="s">
        <v>52</v>
      </c>
      <c r="D15" s="2" t="s">
        <v>29</v>
      </c>
      <c r="E15" s="2" t="s">
        <v>2330</v>
      </c>
      <c r="F15" s="2" t="s">
        <v>37</v>
      </c>
      <c r="G15" s="2" t="s">
        <v>2331</v>
      </c>
      <c r="H15" s="2" t="s">
        <v>2332</v>
      </c>
      <c r="I15" s="2" t="s">
        <v>2333</v>
      </c>
      <c r="J15" s="2" t="s">
        <v>2334</v>
      </c>
      <c r="K15" s="2" t="s">
        <v>2335</v>
      </c>
      <c r="L15" s="2" t="s">
        <v>2336</v>
      </c>
      <c r="M15" s="2" t="s">
        <v>2274</v>
      </c>
      <c r="N15" s="2" t="s">
        <v>27</v>
      </c>
      <c r="O15" s="2" t="s">
        <v>26</v>
      </c>
      <c r="P15" s="2"/>
      <c r="Q15" s="2" t="s">
        <v>741</v>
      </c>
    </row>
    <row r="16" spans="1:17" ht="117.25" customHeight="1">
      <c r="A16" s="2">
        <v>15</v>
      </c>
      <c r="B16" s="2" t="s">
        <v>2337</v>
      </c>
      <c r="C16" s="2" t="s">
        <v>813</v>
      </c>
      <c r="D16" s="2" t="s">
        <v>29</v>
      </c>
      <c r="E16" s="2" t="s">
        <v>2338</v>
      </c>
      <c r="F16" s="2" t="s">
        <v>2339</v>
      </c>
      <c r="G16" s="2" t="s">
        <v>2340</v>
      </c>
      <c r="H16" s="2" t="s">
        <v>2341</v>
      </c>
      <c r="I16" s="2" t="s">
        <v>2342</v>
      </c>
      <c r="J16" s="2" t="s">
        <v>2343</v>
      </c>
      <c r="K16" s="2" t="s">
        <v>2344</v>
      </c>
      <c r="L16" s="2" t="s">
        <v>2345</v>
      </c>
      <c r="M16" s="2" t="s">
        <v>2274</v>
      </c>
      <c r="N16" s="2" t="s">
        <v>27</v>
      </c>
      <c r="O16" s="2" t="s">
        <v>26</v>
      </c>
      <c r="P16" s="2"/>
      <c r="Q16" s="2" t="s">
        <v>2346</v>
      </c>
    </row>
    <row r="17" spans="1:17" ht="117.25" customHeight="1">
      <c r="A17" s="2">
        <v>16</v>
      </c>
      <c r="B17" s="2" t="s">
        <v>2347</v>
      </c>
      <c r="C17" s="2" t="s">
        <v>2348</v>
      </c>
      <c r="D17" s="2" t="s">
        <v>29</v>
      </c>
      <c r="E17" s="2" t="s">
        <v>2349</v>
      </c>
      <c r="F17" s="2" t="s">
        <v>2350</v>
      </c>
      <c r="G17" s="2" t="s">
        <v>2351</v>
      </c>
      <c r="H17" s="2" t="s">
        <v>2352</v>
      </c>
      <c r="I17" s="2" t="s">
        <v>2353</v>
      </c>
      <c r="J17" s="2" t="s">
        <v>2354</v>
      </c>
      <c r="K17" s="2" t="s">
        <v>2355</v>
      </c>
      <c r="L17" s="2" t="s">
        <v>2356</v>
      </c>
      <c r="M17" s="2" t="s">
        <v>2357</v>
      </c>
      <c r="N17" s="2" t="s">
        <v>27</v>
      </c>
      <c r="O17" s="2" t="s">
        <v>26</v>
      </c>
      <c r="P17" s="2"/>
      <c r="Q17" s="2" t="s">
        <v>741</v>
      </c>
    </row>
    <row r="18" spans="1:17" ht="117.25" customHeight="1">
      <c r="A18" s="2">
        <v>17</v>
      </c>
      <c r="B18" s="2" t="s">
        <v>2358</v>
      </c>
      <c r="C18" s="2" t="s">
        <v>2348</v>
      </c>
      <c r="D18" s="2" t="s">
        <v>311</v>
      </c>
      <c r="E18" s="2" t="s">
        <v>2359</v>
      </c>
      <c r="F18" s="2" t="s">
        <v>2360</v>
      </c>
      <c r="G18" s="2" t="s">
        <v>2361</v>
      </c>
      <c r="H18" s="2" t="s">
        <v>2362</v>
      </c>
      <c r="I18" s="2" t="s">
        <v>2363</v>
      </c>
      <c r="J18" s="2" t="s">
        <v>2364</v>
      </c>
      <c r="K18" s="2" t="s">
        <v>2365</v>
      </c>
      <c r="L18" s="2" t="s">
        <v>2356</v>
      </c>
      <c r="M18" s="2" t="s">
        <v>2357</v>
      </c>
      <c r="N18" s="2" t="s">
        <v>29</v>
      </c>
      <c r="O18" s="2" t="s">
        <v>26</v>
      </c>
      <c r="P18" s="2"/>
      <c r="Q18" s="2" t="s">
        <v>741</v>
      </c>
    </row>
    <row r="19" spans="1:17" ht="117.25" customHeight="1">
      <c r="A19" s="2">
        <v>18</v>
      </c>
      <c r="B19" s="2" t="s">
        <v>2366</v>
      </c>
      <c r="C19" s="2" t="s">
        <v>2367</v>
      </c>
      <c r="D19" s="2" t="s">
        <v>311</v>
      </c>
      <c r="E19" s="2" t="s">
        <v>2368</v>
      </c>
      <c r="F19" s="2" t="s">
        <v>2369</v>
      </c>
      <c r="G19" s="2" t="s">
        <v>2370</v>
      </c>
      <c r="H19" s="2" t="s">
        <v>2371</v>
      </c>
      <c r="I19" s="2" t="s">
        <v>2372</v>
      </c>
      <c r="J19" s="2" t="s">
        <v>2373</v>
      </c>
      <c r="K19" s="2" t="s">
        <v>2374</v>
      </c>
      <c r="L19" s="2" t="s">
        <v>2375</v>
      </c>
      <c r="M19" s="2" t="s">
        <v>2376</v>
      </c>
      <c r="N19" s="2" t="s">
        <v>29</v>
      </c>
      <c r="O19" s="2" t="s">
        <v>26</v>
      </c>
      <c r="P19" s="2"/>
      <c r="Q19" s="2" t="s">
        <v>741</v>
      </c>
    </row>
    <row r="20" spans="1:17" ht="117.25" customHeight="1">
      <c r="A20" s="2">
        <v>19</v>
      </c>
      <c r="B20" s="2" t="s">
        <v>2377</v>
      </c>
      <c r="C20" s="2" t="s">
        <v>753</v>
      </c>
      <c r="D20" s="2" t="s">
        <v>311</v>
      </c>
      <c r="E20" s="2" t="s">
        <v>2378</v>
      </c>
      <c r="F20" s="2" t="s">
        <v>2379</v>
      </c>
      <c r="G20" s="2" t="s">
        <v>2380</v>
      </c>
      <c r="H20" s="2" t="s">
        <v>2381</v>
      </c>
      <c r="I20" s="2" t="s">
        <v>2382</v>
      </c>
      <c r="J20" s="2" t="s">
        <v>2383</v>
      </c>
      <c r="K20" s="2" t="s">
        <v>2384</v>
      </c>
      <c r="L20" s="2" t="s">
        <v>2385</v>
      </c>
      <c r="M20" s="2" t="s">
        <v>2357</v>
      </c>
      <c r="N20" s="2" t="s">
        <v>29</v>
      </c>
      <c r="O20" s="2" t="s">
        <v>26</v>
      </c>
      <c r="P20" s="2"/>
      <c r="Q20" s="2" t="s">
        <v>538</v>
      </c>
    </row>
    <row r="21" spans="1:17" ht="117.25" customHeight="1">
      <c r="A21" s="2">
        <v>20</v>
      </c>
      <c r="B21" s="2" t="s">
        <v>2386</v>
      </c>
      <c r="C21" s="2" t="s">
        <v>753</v>
      </c>
      <c r="D21" s="2" t="s">
        <v>311</v>
      </c>
      <c r="E21" s="2" t="s">
        <v>2387</v>
      </c>
      <c r="F21" s="2" t="s">
        <v>2388</v>
      </c>
      <c r="G21" s="2" t="s">
        <v>2389</v>
      </c>
      <c r="H21" s="2" t="s">
        <v>2390</v>
      </c>
      <c r="I21" s="2" t="s">
        <v>2391</v>
      </c>
      <c r="J21" s="2" t="s">
        <v>2392</v>
      </c>
      <c r="K21" s="2" t="s">
        <v>2393</v>
      </c>
      <c r="L21" s="2" t="s">
        <v>2394</v>
      </c>
      <c r="M21" s="2" t="s">
        <v>2357</v>
      </c>
      <c r="N21" s="2" t="s">
        <v>29</v>
      </c>
      <c r="O21" s="2" t="s">
        <v>26</v>
      </c>
      <c r="P21" s="2"/>
      <c r="Q21" s="2" t="s">
        <v>538</v>
      </c>
    </row>
    <row r="22" spans="1:17" ht="117.25" customHeight="1">
      <c r="A22" s="2">
        <v>21</v>
      </c>
      <c r="B22" s="2" t="s">
        <v>2395</v>
      </c>
      <c r="C22" s="2" t="s">
        <v>753</v>
      </c>
      <c r="D22" s="2" t="s">
        <v>311</v>
      </c>
      <c r="E22" s="2" t="s">
        <v>2396</v>
      </c>
      <c r="F22" s="2" t="s">
        <v>2305</v>
      </c>
      <c r="G22" s="2" t="s">
        <v>2397</v>
      </c>
      <c r="H22" s="2" t="s">
        <v>2398</v>
      </c>
      <c r="I22" s="2" t="s">
        <v>2399</v>
      </c>
      <c r="J22" s="2" t="s">
        <v>2400</v>
      </c>
      <c r="K22" s="2" t="s">
        <v>2401</v>
      </c>
      <c r="L22" s="2" t="s">
        <v>2402</v>
      </c>
      <c r="M22" s="2" t="s">
        <v>2357</v>
      </c>
      <c r="N22" s="2" t="s">
        <v>31</v>
      </c>
      <c r="O22" s="2" t="s">
        <v>26</v>
      </c>
      <c r="P22" s="2"/>
      <c r="Q22" s="2" t="s">
        <v>538</v>
      </c>
    </row>
    <row r="23" spans="1:17" ht="117.25" customHeight="1">
      <c r="A23" s="2">
        <v>22</v>
      </c>
      <c r="B23" s="2" t="s">
        <v>2403</v>
      </c>
      <c r="C23" s="2" t="s">
        <v>2404</v>
      </c>
      <c r="D23" s="2" t="s">
        <v>29</v>
      </c>
      <c r="E23" s="2" t="s">
        <v>2405</v>
      </c>
      <c r="F23" s="2" t="s">
        <v>2406</v>
      </c>
      <c r="G23" s="2" t="s">
        <v>2407</v>
      </c>
      <c r="H23" s="2" t="s">
        <v>2408</v>
      </c>
      <c r="I23" s="2" t="s">
        <v>2409</v>
      </c>
      <c r="J23" s="2" t="s">
        <v>2410</v>
      </c>
      <c r="K23" s="2" t="s">
        <v>2411</v>
      </c>
      <c r="L23" s="2" t="s">
        <v>2412</v>
      </c>
      <c r="M23" s="2" t="s">
        <v>2220</v>
      </c>
      <c r="N23" s="2" t="s">
        <v>27</v>
      </c>
      <c r="O23" s="2" t="s">
        <v>26</v>
      </c>
      <c r="P23" s="2"/>
      <c r="Q23" s="2" t="s">
        <v>80</v>
      </c>
    </row>
    <row r="24" spans="1:17" ht="117.25" customHeight="1">
      <c r="A24" s="2">
        <v>23</v>
      </c>
      <c r="B24" s="2" t="s">
        <v>2413</v>
      </c>
      <c r="C24" s="2" t="s">
        <v>2414</v>
      </c>
      <c r="D24" s="2" t="s">
        <v>2404</v>
      </c>
      <c r="E24" s="2" t="s">
        <v>29</v>
      </c>
      <c r="F24" s="2" t="s">
        <v>2415</v>
      </c>
      <c r="G24" s="2" t="s">
        <v>2406</v>
      </c>
      <c r="H24" s="2" t="s">
        <v>2416</v>
      </c>
      <c r="I24" s="2" t="s">
        <v>2417</v>
      </c>
      <c r="J24" s="2" t="s">
        <v>2418</v>
      </c>
      <c r="K24" s="2" t="s">
        <v>2419</v>
      </c>
      <c r="L24" s="2" t="s">
        <v>2420</v>
      </c>
      <c r="M24" s="2" t="s">
        <v>2421</v>
      </c>
      <c r="N24" s="2" t="s">
        <v>2274</v>
      </c>
      <c r="O24" s="2" t="s">
        <v>26</v>
      </c>
      <c r="P24" s="2"/>
      <c r="Q24" s="2" t="s">
        <v>29</v>
      </c>
    </row>
    <row r="25" spans="1:17" ht="117.25" customHeight="1">
      <c r="A25" s="2">
        <v>24</v>
      </c>
      <c r="B25" s="2" t="s">
        <v>2422</v>
      </c>
      <c r="C25" s="2" t="s">
        <v>2423</v>
      </c>
      <c r="D25" s="2" t="s">
        <v>29</v>
      </c>
      <c r="E25" s="2" t="s">
        <v>2424</v>
      </c>
      <c r="F25" s="2" t="s">
        <v>2425</v>
      </c>
      <c r="G25" s="2" t="s">
        <v>2426</v>
      </c>
      <c r="H25" s="2" t="s">
        <v>2427</v>
      </c>
      <c r="I25" s="2" t="s">
        <v>2428</v>
      </c>
      <c r="J25" s="2" t="s">
        <v>2429</v>
      </c>
      <c r="K25" s="2" t="s">
        <v>2430</v>
      </c>
      <c r="L25" s="2" t="s">
        <v>2431</v>
      </c>
      <c r="M25" s="2" t="s">
        <v>2220</v>
      </c>
      <c r="N25" s="2" t="s">
        <v>29</v>
      </c>
      <c r="O25" s="2" t="s">
        <v>26</v>
      </c>
      <c r="P25" s="2"/>
      <c r="Q25" s="2" t="s">
        <v>80</v>
      </c>
    </row>
    <row r="26" spans="1:17" ht="117.25" customHeight="1">
      <c r="A26" s="2">
        <v>25</v>
      </c>
      <c r="B26" s="2" t="s">
        <v>2432</v>
      </c>
      <c r="C26" s="2" t="s">
        <v>2433</v>
      </c>
      <c r="D26" s="2" t="s">
        <v>29</v>
      </c>
      <c r="E26" s="2" t="s">
        <v>2434</v>
      </c>
      <c r="F26" s="2" t="s">
        <v>2435</v>
      </c>
      <c r="G26" s="2" t="s">
        <v>2436</v>
      </c>
      <c r="H26" s="2" t="s">
        <v>2437</v>
      </c>
      <c r="I26" s="2" t="s">
        <v>2438</v>
      </c>
      <c r="J26" s="2" t="s">
        <v>2439</v>
      </c>
      <c r="K26" s="2" t="s">
        <v>2440</v>
      </c>
      <c r="L26" s="2" t="s">
        <v>2441</v>
      </c>
      <c r="M26" s="2" t="s">
        <v>2274</v>
      </c>
      <c r="N26" s="2" t="s">
        <v>29</v>
      </c>
      <c r="O26" s="2" t="s">
        <v>26</v>
      </c>
      <c r="P26" s="2"/>
      <c r="Q26" s="2" t="s">
        <v>80</v>
      </c>
    </row>
    <row r="27" spans="1:17" ht="117.25" customHeight="1">
      <c r="A27" s="2">
        <v>26</v>
      </c>
      <c r="B27" s="2" t="s">
        <v>2442</v>
      </c>
      <c r="C27" s="2" t="s">
        <v>2443</v>
      </c>
      <c r="D27" s="2" t="s">
        <v>311</v>
      </c>
      <c r="E27" s="2" t="s">
        <v>2444</v>
      </c>
      <c r="F27" s="2" t="s">
        <v>2445</v>
      </c>
      <c r="G27" s="2" t="s">
        <v>2446</v>
      </c>
      <c r="H27" s="2" t="s">
        <v>2447</v>
      </c>
      <c r="I27" s="2" t="s">
        <v>2448</v>
      </c>
      <c r="J27" s="2" t="s">
        <v>2449</v>
      </c>
      <c r="K27" s="2" t="s">
        <v>2450</v>
      </c>
      <c r="L27" s="2" t="s">
        <v>2451</v>
      </c>
      <c r="M27" s="2" t="s">
        <v>2302</v>
      </c>
      <c r="N27" s="2" t="s">
        <v>29</v>
      </c>
      <c r="O27" s="2" t="s">
        <v>26</v>
      </c>
      <c r="P27" s="2"/>
      <c r="Q27" s="2" t="s">
        <v>80</v>
      </c>
    </row>
    <row r="28" spans="1:17" ht="117.25" customHeight="1">
      <c r="A28" s="2">
        <v>27</v>
      </c>
      <c r="B28" s="2" t="s">
        <v>2452</v>
      </c>
      <c r="C28" s="2" t="s">
        <v>2453</v>
      </c>
      <c r="D28" s="2" t="s">
        <v>74</v>
      </c>
      <c r="E28" s="2" t="s">
        <v>2454</v>
      </c>
      <c r="F28" s="2" t="s">
        <v>2455</v>
      </c>
      <c r="G28" s="2" t="s">
        <v>2456</v>
      </c>
      <c r="H28" s="2" t="s">
        <v>2457</v>
      </c>
      <c r="I28" s="2" t="s">
        <v>2458</v>
      </c>
      <c r="J28" s="2" t="s">
        <v>2459</v>
      </c>
      <c r="K28" s="2" t="s">
        <v>2460</v>
      </c>
      <c r="L28" s="2" t="s">
        <v>2461</v>
      </c>
      <c r="M28" s="2" t="s">
        <v>2220</v>
      </c>
      <c r="N28" s="2" t="s">
        <v>27</v>
      </c>
      <c r="O28" s="2" t="s">
        <v>26</v>
      </c>
      <c r="P28" s="2"/>
      <c r="Q28" s="2" t="s">
        <v>80</v>
      </c>
    </row>
    <row r="29" spans="1:17" ht="117.25" customHeight="1">
      <c r="A29" s="2">
        <v>28</v>
      </c>
      <c r="B29" s="2" t="s">
        <v>2462</v>
      </c>
      <c r="C29" s="2" t="s">
        <v>2463</v>
      </c>
      <c r="D29" s="2" t="s">
        <v>2453</v>
      </c>
      <c r="E29" s="2" t="s">
        <v>74</v>
      </c>
      <c r="F29" s="2" t="s">
        <v>2464</v>
      </c>
      <c r="G29" s="2" t="s">
        <v>2465</v>
      </c>
      <c r="H29" s="2" t="s">
        <v>2466</v>
      </c>
      <c r="I29" s="2" t="s">
        <v>2467</v>
      </c>
      <c r="J29" s="2" t="s">
        <v>2468</v>
      </c>
      <c r="K29" s="2" t="s">
        <v>2469</v>
      </c>
      <c r="L29" s="2" t="s">
        <v>2470</v>
      </c>
      <c r="M29" s="2" t="s">
        <v>2471</v>
      </c>
      <c r="N29" s="2" t="s">
        <v>2220</v>
      </c>
      <c r="O29" s="2" t="s">
        <v>26</v>
      </c>
      <c r="P29" s="2"/>
      <c r="Q29" s="2" t="s">
        <v>27</v>
      </c>
    </row>
    <row r="30" spans="1:17" ht="117.25" customHeight="1">
      <c r="A30" s="2">
        <v>29</v>
      </c>
      <c r="B30" s="2" t="s">
        <v>2472</v>
      </c>
      <c r="C30" s="2" t="s">
        <v>2473</v>
      </c>
      <c r="D30" s="2" t="s">
        <v>74</v>
      </c>
      <c r="E30" s="2" t="s">
        <v>2474</v>
      </c>
      <c r="F30" s="2" t="s">
        <v>2475</v>
      </c>
      <c r="G30" s="2" t="s">
        <v>2476</v>
      </c>
      <c r="H30" s="2" t="s">
        <v>2477</v>
      </c>
      <c r="I30" s="2" t="s">
        <v>2478</v>
      </c>
      <c r="J30" s="2" t="s">
        <v>2479</v>
      </c>
      <c r="K30" s="2" t="s">
        <v>2480</v>
      </c>
      <c r="L30" s="2" t="s">
        <v>2481</v>
      </c>
      <c r="M30" s="2" t="s">
        <v>2220</v>
      </c>
      <c r="N30" s="2" t="s">
        <v>29</v>
      </c>
      <c r="O30" s="2" t="s">
        <v>26</v>
      </c>
      <c r="P30" s="2"/>
      <c r="Q30" s="2" t="s">
        <v>80</v>
      </c>
    </row>
    <row r="31" spans="1:17" ht="117.25" customHeight="1">
      <c r="A31" s="2">
        <v>30</v>
      </c>
      <c r="B31" s="2" t="s">
        <v>2482</v>
      </c>
      <c r="C31" s="2" t="s">
        <v>2483</v>
      </c>
      <c r="D31" s="2" t="s">
        <v>29</v>
      </c>
      <c r="E31" s="2" t="s">
        <v>2484</v>
      </c>
      <c r="F31" s="2" t="s">
        <v>2485</v>
      </c>
      <c r="G31" s="2" t="s">
        <v>2486</v>
      </c>
      <c r="H31" s="2" t="s">
        <v>2487</v>
      </c>
      <c r="I31" s="2" t="s">
        <v>2488</v>
      </c>
      <c r="J31" s="2" t="s">
        <v>2489</v>
      </c>
      <c r="K31" s="2" t="s">
        <v>2490</v>
      </c>
      <c r="L31" s="2" t="s">
        <v>2491</v>
      </c>
      <c r="M31" s="2" t="s">
        <v>2302</v>
      </c>
      <c r="N31" s="2" t="s">
        <v>27</v>
      </c>
      <c r="O31" s="2" t="s">
        <v>26</v>
      </c>
      <c r="P31" s="2"/>
      <c r="Q31" s="2" t="s">
        <v>741</v>
      </c>
    </row>
    <row r="32" spans="1:17" ht="117.25" customHeight="1">
      <c r="A32" s="2">
        <v>31</v>
      </c>
      <c r="B32" s="2" t="s">
        <v>2492</v>
      </c>
      <c r="C32" s="2" t="s">
        <v>2493</v>
      </c>
      <c r="D32" s="2" t="s">
        <v>2494</v>
      </c>
      <c r="E32" s="2" t="s">
        <v>29</v>
      </c>
      <c r="F32" s="2" t="s">
        <v>2495</v>
      </c>
      <c r="G32" s="2" t="s">
        <v>2496</v>
      </c>
      <c r="H32" s="2" t="s">
        <v>2497</v>
      </c>
      <c r="I32" s="2" t="s">
        <v>2498</v>
      </c>
      <c r="J32" s="2" t="s">
        <v>2499</v>
      </c>
      <c r="K32" s="2" t="s">
        <v>2500</v>
      </c>
      <c r="L32" s="2" t="s">
        <v>2501</v>
      </c>
      <c r="M32" s="2" t="s">
        <v>2502</v>
      </c>
      <c r="N32" s="2" t="s">
        <v>2302</v>
      </c>
      <c r="O32" s="2" t="s">
        <v>26</v>
      </c>
      <c r="P32" s="2"/>
      <c r="Q32" s="2" t="s">
        <v>27</v>
      </c>
    </row>
    <row r="33" spans="1:17" ht="117.25" customHeight="1">
      <c r="A33" s="2">
        <v>32</v>
      </c>
      <c r="B33" s="2" t="s">
        <v>2503</v>
      </c>
      <c r="C33" s="2" t="s">
        <v>722</v>
      </c>
      <c r="D33" s="2" t="s">
        <v>311</v>
      </c>
      <c r="E33" s="2" t="s">
        <v>2504</v>
      </c>
      <c r="F33" s="2" t="s">
        <v>2505</v>
      </c>
      <c r="G33" s="2" t="s">
        <v>2506</v>
      </c>
      <c r="H33" s="2" t="s">
        <v>2507</v>
      </c>
      <c r="I33" s="2" t="s">
        <v>2508</v>
      </c>
      <c r="J33" s="2" t="s">
        <v>2509</v>
      </c>
      <c r="K33" s="2" t="s">
        <v>2510</v>
      </c>
      <c r="L33" s="2" t="s">
        <v>2511</v>
      </c>
      <c r="M33" s="2" t="s">
        <v>2357</v>
      </c>
      <c r="N33" s="2" t="s">
        <v>29</v>
      </c>
      <c r="O33" s="2" t="s">
        <v>26</v>
      </c>
      <c r="P33" s="2"/>
      <c r="Q33" s="2" t="s">
        <v>741</v>
      </c>
    </row>
    <row r="34" spans="1:17" ht="117.25" customHeight="1">
      <c r="A34" s="2">
        <v>33</v>
      </c>
      <c r="B34" s="2" t="s">
        <v>2512</v>
      </c>
      <c r="C34" s="2" t="s">
        <v>2513</v>
      </c>
      <c r="D34" s="2" t="s">
        <v>722</v>
      </c>
      <c r="E34" s="2" t="s">
        <v>311</v>
      </c>
      <c r="F34" s="2" t="s">
        <v>2514</v>
      </c>
      <c r="G34" s="2" t="s">
        <v>2515</v>
      </c>
      <c r="H34" s="2" t="s">
        <v>2516</v>
      </c>
      <c r="I34" s="2" t="s">
        <v>2517</v>
      </c>
      <c r="J34" s="2" t="s">
        <v>2518</v>
      </c>
      <c r="K34" s="2" t="s">
        <v>2519</v>
      </c>
      <c r="L34" s="2" t="s">
        <v>2520</v>
      </c>
      <c r="M34" s="2" t="s">
        <v>2521</v>
      </c>
      <c r="N34" s="2" t="s">
        <v>2376</v>
      </c>
      <c r="O34" s="2" t="s">
        <v>26</v>
      </c>
      <c r="P34" s="2"/>
      <c r="Q34" s="2" t="s">
        <v>29</v>
      </c>
    </row>
    <row r="35" spans="1:17" ht="117.25" customHeight="1">
      <c r="A35" s="2">
        <v>34</v>
      </c>
      <c r="B35" s="2" t="s">
        <v>2522</v>
      </c>
      <c r="C35" s="2" t="s">
        <v>2523</v>
      </c>
      <c r="D35" s="2" t="s">
        <v>2483</v>
      </c>
      <c r="E35" s="2" t="s">
        <v>311</v>
      </c>
      <c r="F35" s="2" t="s">
        <v>2524</v>
      </c>
      <c r="G35" s="2" t="s">
        <v>2525</v>
      </c>
      <c r="H35" s="2" t="s">
        <v>2526</v>
      </c>
      <c r="I35" s="2" t="s">
        <v>2527</v>
      </c>
      <c r="J35" s="2" t="s">
        <v>2528</v>
      </c>
      <c r="K35" s="2" t="s">
        <v>2529</v>
      </c>
      <c r="L35" s="2" t="s">
        <v>2530</v>
      </c>
      <c r="M35" s="2" t="s">
        <v>2531</v>
      </c>
      <c r="N35" s="2" t="s">
        <v>2357</v>
      </c>
      <c r="O35" s="2" t="s">
        <v>26</v>
      </c>
      <c r="P35" s="2"/>
      <c r="Q35" s="2" t="s">
        <v>31</v>
      </c>
    </row>
    <row r="36" spans="1:17" ht="117.25" customHeight="1">
      <c r="A36" s="2">
        <v>35</v>
      </c>
      <c r="B36" s="2" t="s">
        <v>2532</v>
      </c>
      <c r="C36" s="2" t="s">
        <v>2533</v>
      </c>
      <c r="D36" s="2" t="s">
        <v>29</v>
      </c>
      <c r="E36" s="2" t="s">
        <v>2534</v>
      </c>
      <c r="F36" s="2" t="s">
        <v>2535</v>
      </c>
      <c r="G36" s="2" t="s">
        <v>2536</v>
      </c>
      <c r="H36" s="2" t="s">
        <v>2537</v>
      </c>
      <c r="I36" s="2" t="s">
        <v>2538</v>
      </c>
      <c r="J36" s="2" t="s">
        <v>2539</v>
      </c>
      <c r="K36" s="2" t="s">
        <v>2540</v>
      </c>
      <c r="L36" s="2" t="s">
        <v>2541</v>
      </c>
      <c r="M36" s="2" t="s">
        <v>2302</v>
      </c>
      <c r="N36" s="2" t="s">
        <v>27</v>
      </c>
      <c r="O36" s="2" t="s">
        <v>26</v>
      </c>
      <c r="P36" s="2"/>
      <c r="Q36" s="2" t="s">
        <v>336</v>
      </c>
    </row>
    <row r="37" spans="1:17" ht="117.25" customHeight="1">
      <c r="A37" s="2">
        <v>36</v>
      </c>
      <c r="B37" s="2" t="s">
        <v>2542</v>
      </c>
      <c r="C37" s="2" t="s">
        <v>2543</v>
      </c>
      <c r="D37" s="2" t="s">
        <v>311</v>
      </c>
      <c r="E37" s="2" t="s">
        <v>2544</v>
      </c>
      <c r="F37" s="2" t="s">
        <v>2545</v>
      </c>
      <c r="G37" s="2" t="s">
        <v>2546</v>
      </c>
      <c r="H37" s="2" t="s">
        <v>2547</v>
      </c>
      <c r="I37" s="2" t="s">
        <v>2548</v>
      </c>
      <c r="J37" s="2" t="s">
        <v>2549</v>
      </c>
      <c r="K37" s="2" t="s">
        <v>2550</v>
      </c>
      <c r="L37" s="2" t="s">
        <v>2551</v>
      </c>
      <c r="M37" s="2" t="s">
        <v>2376</v>
      </c>
      <c r="N37" s="2" t="s">
        <v>29</v>
      </c>
      <c r="O37" s="2" t="s">
        <v>26</v>
      </c>
      <c r="P37" s="2"/>
      <c r="Q37" s="2" t="s">
        <v>741</v>
      </c>
    </row>
    <row r="38" spans="1:17" ht="117.25" customHeight="1">
      <c r="A38" s="2">
        <v>37</v>
      </c>
      <c r="B38" s="2" t="s">
        <v>2552</v>
      </c>
      <c r="C38" s="2" t="s">
        <v>2553</v>
      </c>
      <c r="D38" s="2" t="s">
        <v>2543</v>
      </c>
      <c r="E38" s="2" t="s">
        <v>311</v>
      </c>
      <c r="F38" s="2" t="s">
        <v>2554</v>
      </c>
      <c r="G38" s="2" t="s">
        <v>2555</v>
      </c>
      <c r="H38" s="2" t="s">
        <v>2556</v>
      </c>
      <c r="I38" s="2" t="s">
        <v>2557</v>
      </c>
      <c r="J38" s="2" t="s">
        <v>2558</v>
      </c>
      <c r="K38" s="2" t="s">
        <v>2559</v>
      </c>
      <c r="L38" s="2" t="s">
        <v>2560</v>
      </c>
      <c r="M38" s="2" t="s">
        <v>2561</v>
      </c>
      <c r="N38" s="2" t="s">
        <v>2376</v>
      </c>
      <c r="O38" s="2" t="s">
        <v>26</v>
      </c>
      <c r="P38" s="2"/>
      <c r="Q38" s="2" t="s">
        <v>31</v>
      </c>
    </row>
    <row r="39" spans="1:17" ht="117.25" customHeight="1">
      <c r="A39" s="2">
        <v>38</v>
      </c>
      <c r="B39" s="2" t="s">
        <v>2562</v>
      </c>
      <c r="C39" s="2" t="s">
        <v>2563</v>
      </c>
      <c r="D39" s="2" t="s">
        <v>2543</v>
      </c>
      <c r="E39" s="2" t="s">
        <v>29</v>
      </c>
      <c r="F39" s="2" t="s">
        <v>2564</v>
      </c>
      <c r="G39" s="2" t="s">
        <v>2565</v>
      </c>
      <c r="H39" s="2" t="s">
        <v>2566</v>
      </c>
      <c r="I39" s="2" t="s">
        <v>2567</v>
      </c>
      <c r="J39" s="2" t="s">
        <v>2568</v>
      </c>
      <c r="K39" s="2" t="s">
        <v>2569</v>
      </c>
      <c r="L39" s="2" t="s">
        <v>2570</v>
      </c>
      <c r="M39" s="2" t="s">
        <v>2571</v>
      </c>
      <c r="N39" s="2" t="s">
        <v>2302</v>
      </c>
      <c r="O39" s="2" t="s">
        <v>26</v>
      </c>
      <c r="P39" s="2"/>
      <c r="Q39" s="2" t="s">
        <v>29</v>
      </c>
    </row>
    <row r="40" spans="1:17" ht="117.25" customHeight="1">
      <c r="A40" s="2">
        <v>39</v>
      </c>
      <c r="B40" s="2" t="s">
        <v>2572</v>
      </c>
      <c r="C40" s="2" t="s">
        <v>2573</v>
      </c>
      <c r="D40" s="2" t="s">
        <v>2574</v>
      </c>
      <c r="E40" s="2" t="s">
        <v>311</v>
      </c>
      <c r="F40" s="2" t="s">
        <v>2575</v>
      </c>
      <c r="G40" s="2" t="s">
        <v>2576</v>
      </c>
      <c r="H40" s="2" t="s">
        <v>2577</v>
      </c>
      <c r="I40" s="2" t="s">
        <v>2578</v>
      </c>
      <c r="J40" s="2" t="s">
        <v>2579</v>
      </c>
      <c r="K40" s="2" t="s">
        <v>2580</v>
      </c>
      <c r="L40" s="2" t="s">
        <v>2581</v>
      </c>
      <c r="M40" s="2" t="s">
        <v>2582</v>
      </c>
      <c r="N40" s="2" t="s">
        <v>2357</v>
      </c>
      <c r="O40" s="2" t="s">
        <v>26</v>
      </c>
      <c r="P40" s="2"/>
      <c r="Q40" s="2" t="s">
        <v>31</v>
      </c>
    </row>
    <row r="41" spans="1:17" ht="117.25" customHeight="1">
      <c r="A41" s="2">
        <v>40</v>
      </c>
      <c r="B41" s="2" t="s">
        <v>2583</v>
      </c>
      <c r="C41" s="2" t="s">
        <v>2584</v>
      </c>
      <c r="D41" s="2" t="s">
        <v>2585</v>
      </c>
      <c r="E41" s="2" t="s">
        <v>311</v>
      </c>
      <c r="F41" s="2" t="s">
        <v>2586</v>
      </c>
      <c r="G41" s="2" t="s">
        <v>2587</v>
      </c>
      <c r="H41" s="2" t="s">
        <v>2588</v>
      </c>
      <c r="I41" s="2" t="s">
        <v>2589</v>
      </c>
      <c r="J41" s="2" t="s">
        <v>2590</v>
      </c>
      <c r="K41" s="2" t="s">
        <v>2591</v>
      </c>
      <c r="L41" s="2" t="s">
        <v>2592</v>
      </c>
      <c r="M41" s="2" t="s">
        <v>2593</v>
      </c>
      <c r="N41" s="2" t="s">
        <v>2357</v>
      </c>
      <c r="O41" s="2" t="s">
        <v>26</v>
      </c>
      <c r="P41" s="2"/>
      <c r="Q41" s="2" t="s">
        <v>29</v>
      </c>
    </row>
    <row r="42" spans="1:17" ht="117.25" customHeight="1">
      <c r="A42" s="2">
        <v>41</v>
      </c>
      <c r="B42" s="2" t="s">
        <v>2594</v>
      </c>
      <c r="C42" s="2" t="s">
        <v>2595</v>
      </c>
      <c r="D42" s="2" t="s">
        <v>2585</v>
      </c>
      <c r="E42" s="2" t="s">
        <v>311</v>
      </c>
      <c r="F42" s="2" t="s">
        <v>2596</v>
      </c>
      <c r="G42" s="2" t="s">
        <v>2597</v>
      </c>
      <c r="H42" s="2" t="s">
        <v>2598</v>
      </c>
      <c r="I42" s="2" t="s">
        <v>2599</v>
      </c>
      <c r="J42" s="2" t="s">
        <v>2600</v>
      </c>
      <c r="K42" s="2" t="s">
        <v>2601</v>
      </c>
      <c r="L42" s="2" t="s">
        <v>2602</v>
      </c>
      <c r="M42" s="2" t="s">
        <v>2603</v>
      </c>
      <c r="N42" s="2" t="s">
        <v>2376</v>
      </c>
      <c r="O42" s="2" t="s">
        <v>26</v>
      </c>
      <c r="P42" s="2"/>
      <c r="Q42" s="2" t="s">
        <v>31</v>
      </c>
    </row>
    <row r="43" spans="1:17" ht="117.25" customHeight="1">
      <c r="A43" s="2">
        <v>42</v>
      </c>
      <c r="B43" s="2" t="s">
        <v>2604</v>
      </c>
      <c r="C43" s="2" t="s">
        <v>2605</v>
      </c>
      <c r="D43" s="2" t="s">
        <v>311</v>
      </c>
      <c r="E43" s="2" t="s">
        <v>2606</v>
      </c>
      <c r="F43" s="2" t="s">
        <v>2607</v>
      </c>
      <c r="G43" s="2" t="s">
        <v>2608</v>
      </c>
      <c r="H43" s="2" t="s">
        <v>2609</v>
      </c>
      <c r="I43" s="2" t="s">
        <v>2610</v>
      </c>
      <c r="J43" s="2" t="s">
        <v>2611</v>
      </c>
      <c r="K43" s="2" t="s">
        <v>2612</v>
      </c>
      <c r="L43" s="2" t="s">
        <v>2613</v>
      </c>
      <c r="M43" s="2" t="s">
        <v>2376</v>
      </c>
      <c r="N43" s="2" t="s">
        <v>29</v>
      </c>
      <c r="O43" s="2" t="s">
        <v>26</v>
      </c>
      <c r="P43" s="2"/>
      <c r="Q43" s="2" t="s">
        <v>80</v>
      </c>
    </row>
    <row r="44" spans="1:17" ht="117.25" customHeight="1">
      <c r="A44" s="2">
        <v>43</v>
      </c>
      <c r="B44" s="2" t="s">
        <v>2614</v>
      </c>
      <c r="C44" s="2" t="s">
        <v>2615</v>
      </c>
      <c r="D44" s="2" t="s">
        <v>2605</v>
      </c>
      <c r="E44" s="2" t="s">
        <v>311</v>
      </c>
      <c r="F44" s="2" t="s">
        <v>2616</v>
      </c>
      <c r="G44" s="2" t="s">
        <v>2617</v>
      </c>
      <c r="H44" s="2" t="s">
        <v>2618</v>
      </c>
      <c r="I44" s="2" t="s">
        <v>2619</v>
      </c>
      <c r="J44" s="2" t="s">
        <v>2620</v>
      </c>
      <c r="K44" s="2" t="s">
        <v>2621</v>
      </c>
      <c r="L44" s="2" t="s">
        <v>2622</v>
      </c>
      <c r="M44" s="2" t="s">
        <v>2623</v>
      </c>
      <c r="N44" s="2" t="s">
        <v>2376</v>
      </c>
      <c r="O44" s="2" t="s">
        <v>26</v>
      </c>
      <c r="P44" s="2"/>
      <c r="Q44" s="2" t="s">
        <v>29</v>
      </c>
    </row>
    <row r="45" spans="1:17" ht="117.25" customHeight="1">
      <c r="A45" s="2">
        <v>44</v>
      </c>
      <c r="B45" s="2" t="s">
        <v>2624</v>
      </c>
      <c r="C45" s="2" t="s">
        <v>820</v>
      </c>
      <c r="D45" s="2" t="s">
        <v>29</v>
      </c>
      <c r="E45" s="2" t="s">
        <v>2625</v>
      </c>
      <c r="F45" s="2" t="s">
        <v>2626</v>
      </c>
      <c r="G45" s="2" t="s">
        <v>2627</v>
      </c>
      <c r="H45" s="2" t="s">
        <v>2628</v>
      </c>
      <c r="I45" s="2" t="s">
        <v>2629</v>
      </c>
      <c r="J45" s="2" t="s">
        <v>2630</v>
      </c>
      <c r="K45" s="2" t="s">
        <v>2631</v>
      </c>
      <c r="L45" s="2" t="s">
        <v>2632</v>
      </c>
      <c r="M45" s="2" t="s">
        <v>2357</v>
      </c>
      <c r="N45" s="2" t="s">
        <v>27</v>
      </c>
      <c r="O45" s="2" t="s">
        <v>26</v>
      </c>
      <c r="P45" s="2"/>
      <c r="Q45" s="2" t="s">
        <v>741</v>
      </c>
    </row>
    <row r="46" spans="1:17" ht="117.25" customHeight="1">
      <c r="A46" s="2">
        <v>45</v>
      </c>
      <c r="B46" s="2" t="s">
        <v>2633</v>
      </c>
      <c r="C46" s="2" t="s">
        <v>813</v>
      </c>
      <c r="D46" s="2" t="s">
        <v>74</v>
      </c>
      <c r="E46" s="2" t="s">
        <v>2634</v>
      </c>
      <c r="F46" s="2" t="s">
        <v>2635</v>
      </c>
      <c r="G46" s="2" t="s">
        <v>2636</v>
      </c>
      <c r="H46" s="2" t="s">
        <v>2637</v>
      </c>
      <c r="I46" s="2" t="s">
        <v>2638</v>
      </c>
      <c r="J46" s="2" t="s">
        <v>2639</v>
      </c>
      <c r="K46" s="2" t="s">
        <v>2640</v>
      </c>
      <c r="L46" s="2" t="s">
        <v>2641</v>
      </c>
      <c r="M46" s="2" t="s">
        <v>2274</v>
      </c>
      <c r="N46" s="2" t="s">
        <v>27</v>
      </c>
      <c r="O46" s="2" t="s">
        <v>26</v>
      </c>
      <c r="P46" s="2"/>
      <c r="Q46" s="2" t="s">
        <v>2642</v>
      </c>
    </row>
    <row r="47" spans="1:17" ht="117.25" customHeight="1">
      <c r="A47" s="2">
        <v>46</v>
      </c>
      <c r="B47" s="2" t="s">
        <v>2643</v>
      </c>
      <c r="C47" s="2" t="s">
        <v>813</v>
      </c>
      <c r="D47" s="2" t="s">
        <v>29</v>
      </c>
      <c r="E47" s="2" t="s">
        <v>2644</v>
      </c>
      <c r="F47" s="2" t="s">
        <v>2645</v>
      </c>
      <c r="G47" s="2" t="s">
        <v>2646</v>
      </c>
      <c r="H47" s="2" t="s">
        <v>2647</v>
      </c>
      <c r="I47" s="2" t="s">
        <v>2648</v>
      </c>
      <c r="J47" s="2" t="s">
        <v>2649</v>
      </c>
      <c r="K47" s="2" t="s">
        <v>2650</v>
      </c>
      <c r="L47" s="2" t="s">
        <v>2651</v>
      </c>
      <c r="M47" s="2" t="s">
        <v>2274</v>
      </c>
      <c r="N47" s="2" t="s">
        <v>27</v>
      </c>
      <c r="O47" s="2" t="s">
        <v>26</v>
      </c>
      <c r="P47" s="2"/>
      <c r="Q47" s="2" t="s">
        <v>741</v>
      </c>
    </row>
    <row r="48" spans="1:17" ht="117.25" customHeight="1">
      <c r="A48" s="2">
        <v>47</v>
      </c>
      <c r="B48" s="2" t="s">
        <v>2652</v>
      </c>
      <c r="C48" s="2" t="s">
        <v>813</v>
      </c>
      <c r="D48" s="2" t="s">
        <v>311</v>
      </c>
      <c r="E48" s="2" t="s">
        <v>2653</v>
      </c>
      <c r="F48" s="2" t="s">
        <v>2279</v>
      </c>
      <c r="G48" s="2" t="s">
        <v>2654</v>
      </c>
      <c r="H48" s="2" t="s">
        <v>2655</v>
      </c>
      <c r="I48" s="2" t="s">
        <v>2656</v>
      </c>
      <c r="J48" s="2" t="s">
        <v>2657</v>
      </c>
      <c r="K48" s="2" t="s">
        <v>2658</v>
      </c>
      <c r="L48" s="2" t="s">
        <v>2659</v>
      </c>
      <c r="M48" s="2" t="s">
        <v>2357</v>
      </c>
      <c r="N48" s="2" t="s">
        <v>29</v>
      </c>
      <c r="O48" s="2" t="s">
        <v>26</v>
      </c>
      <c r="P48" s="2"/>
      <c r="Q48" s="2" t="s">
        <v>741</v>
      </c>
    </row>
    <row r="49" spans="1:17" ht="117.25" customHeight="1">
      <c r="A49" s="2">
        <v>48</v>
      </c>
      <c r="B49" s="2" t="s">
        <v>2660</v>
      </c>
      <c r="C49" s="2" t="s">
        <v>813</v>
      </c>
      <c r="D49" s="2" t="s">
        <v>29</v>
      </c>
      <c r="E49" s="2" t="s">
        <v>2661</v>
      </c>
      <c r="F49" s="2" t="s">
        <v>2662</v>
      </c>
      <c r="G49" s="2" t="s">
        <v>2663</v>
      </c>
      <c r="H49" s="2" t="s">
        <v>2664</v>
      </c>
      <c r="I49" s="2" t="s">
        <v>2665</v>
      </c>
      <c r="J49" s="2" t="s">
        <v>2666</v>
      </c>
      <c r="K49" s="2" t="s">
        <v>2667</v>
      </c>
      <c r="L49" s="2" t="s">
        <v>2668</v>
      </c>
      <c r="M49" s="2" t="s">
        <v>2302</v>
      </c>
      <c r="N49" s="2" t="s">
        <v>27</v>
      </c>
      <c r="O49" s="2" t="s">
        <v>26</v>
      </c>
      <c r="P49" s="2"/>
      <c r="Q49" s="2" t="s">
        <v>741</v>
      </c>
    </row>
    <row r="50" spans="1:17" ht="117.25" customHeight="1">
      <c r="A50" s="2">
        <v>49</v>
      </c>
      <c r="B50" s="2" t="s">
        <v>2669</v>
      </c>
      <c r="C50" s="2" t="s">
        <v>813</v>
      </c>
      <c r="D50" s="2" t="s">
        <v>29</v>
      </c>
      <c r="E50" s="2" t="s">
        <v>2670</v>
      </c>
      <c r="F50" s="2" t="s">
        <v>2671</v>
      </c>
      <c r="G50" s="2" t="s">
        <v>2672</v>
      </c>
      <c r="H50" s="2" t="s">
        <v>2673</v>
      </c>
      <c r="I50" s="2" t="s">
        <v>2674</v>
      </c>
      <c r="J50" s="2" t="s">
        <v>2675</v>
      </c>
      <c r="K50" s="2" t="s">
        <v>2676</v>
      </c>
      <c r="L50" s="2" t="s">
        <v>2677</v>
      </c>
      <c r="M50" s="2" t="s">
        <v>2302</v>
      </c>
      <c r="N50" s="2" t="s">
        <v>27</v>
      </c>
      <c r="O50" s="2" t="s">
        <v>26</v>
      </c>
      <c r="P50" s="2"/>
      <c r="Q50" s="2" t="s">
        <v>741</v>
      </c>
    </row>
    <row r="51" spans="1:17" ht="117.25" customHeight="1">
      <c r="A51" s="2">
        <v>50</v>
      </c>
      <c r="B51" s="2" t="s">
        <v>2678</v>
      </c>
      <c r="C51" s="2" t="s">
        <v>813</v>
      </c>
      <c r="D51" s="2" t="s">
        <v>29</v>
      </c>
      <c r="E51" s="2" t="s">
        <v>2679</v>
      </c>
      <c r="F51" s="2" t="s">
        <v>2680</v>
      </c>
      <c r="G51" s="2" t="s">
        <v>2681</v>
      </c>
      <c r="H51" s="2" t="s">
        <v>2682</v>
      </c>
      <c r="I51" s="2" t="s">
        <v>2683</v>
      </c>
      <c r="J51" s="2" t="s">
        <v>2684</v>
      </c>
      <c r="K51" s="2" t="s">
        <v>2685</v>
      </c>
      <c r="L51" s="2" t="s">
        <v>2686</v>
      </c>
      <c r="M51" s="2" t="s">
        <v>2302</v>
      </c>
      <c r="N51" s="2" t="s">
        <v>27</v>
      </c>
      <c r="O51" s="2" t="s">
        <v>26</v>
      </c>
      <c r="P51" s="2"/>
      <c r="Q51" s="2" t="s">
        <v>2687</v>
      </c>
    </row>
    <row r="52" spans="1:17" ht="117.25" customHeight="1">
      <c r="A52" s="2">
        <v>51</v>
      </c>
      <c r="B52" s="2" t="s">
        <v>2688</v>
      </c>
      <c r="C52" s="2" t="s">
        <v>2689</v>
      </c>
      <c r="D52" s="2" t="s">
        <v>813</v>
      </c>
      <c r="E52" s="2" t="s">
        <v>311</v>
      </c>
      <c r="F52" s="2" t="s">
        <v>2690</v>
      </c>
      <c r="G52" s="2" t="s">
        <v>2691</v>
      </c>
      <c r="H52" s="2" t="s">
        <v>2692</v>
      </c>
      <c r="I52" s="2" t="s">
        <v>2693</v>
      </c>
      <c r="J52" s="2" t="s">
        <v>2694</v>
      </c>
      <c r="K52" s="2" t="s">
        <v>2695</v>
      </c>
      <c r="L52" s="2" t="s">
        <v>2696</v>
      </c>
      <c r="M52" s="2" t="s">
        <v>2697</v>
      </c>
      <c r="N52" s="2" t="s">
        <v>2302</v>
      </c>
      <c r="O52" s="2" t="s">
        <v>26</v>
      </c>
      <c r="P52" s="2"/>
      <c r="Q52" s="2" t="s">
        <v>29</v>
      </c>
    </row>
    <row r="53" spans="1:17" ht="117.25" customHeight="1">
      <c r="A53" s="2">
        <v>52</v>
      </c>
      <c r="B53" s="2" t="s">
        <v>2698</v>
      </c>
      <c r="C53" s="2" t="s">
        <v>2699</v>
      </c>
      <c r="D53" s="2" t="s">
        <v>311</v>
      </c>
      <c r="E53" s="2" t="s">
        <v>2700</v>
      </c>
      <c r="F53" s="2" t="s">
        <v>2701</v>
      </c>
      <c r="G53" s="2" t="s">
        <v>2702</v>
      </c>
      <c r="H53" s="2" t="s">
        <v>2703</v>
      </c>
      <c r="I53" s="2" t="s">
        <v>2704</v>
      </c>
      <c r="J53" s="2" t="s">
        <v>2705</v>
      </c>
      <c r="K53" s="2" t="s">
        <v>2706</v>
      </c>
      <c r="L53" s="2" t="s">
        <v>2707</v>
      </c>
      <c r="M53" s="2" t="s">
        <v>2376</v>
      </c>
      <c r="N53" s="2" t="s">
        <v>29</v>
      </c>
      <c r="O53" s="2" t="s">
        <v>26</v>
      </c>
      <c r="P53" s="2"/>
      <c r="Q53" s="2" t="s">
        <v>80</v>
      </c>
    </row>
    <row r="54" spans="1:17" ht="117.25" customHeight="1">
      <c r="A54" s="2">
        <v>53</v>
      </c>
      <c r="B54" s="2" t="s">
        <v>2708</v>
      </c>
      <c r="C54" s="2" t="s">
        <v>2699</v>
      </c>
      <c r="D54" s="2" t="s">
        <v>29</v>
      </c>
      <c r="E54" s="2" t="s">
        <v>2709</v>
      </c>
      <c r="F54" s="2" t="s">
        <v>2710</v>
      </c>
      <c r="G54" s="2" t="s">
        <v>2711</v>
      </c>
      <c r="H54" s="2" t="s">
        <v>2712</v>
      </c>
      <c r="I54" s="2" t="s">
        <v>2713</v>
      </c>
      <c r="J54" s="2" t="s">
        <v>2714</v>
      </c>
      <c r="K54" s="2" t="s">
        <v>2715</v>
      </c>
      <c r="L54" s="2" t="s">
        <v>2716</v>
      </c>
      <c r="M54" s="2" t="s">
        <v>2357</v>
      </c>
      <c r="N54" s="2" t="s">
        <v>29</v>
      </c>
      <c r="O54" s="2" t="s">
        <v>26</v>
      </c>
      <c r="P54" s="2"/>
      <c r="Q54" s="2" t="s">
        <v>80</v>
      </c>
    </row>
    <row r="55" spans="1:17" ht="117.25" customHeight="1">
      <c r="A55" s="2">
        <v>54</v>
      </c>
      <c r="B55" s="2" t="s">
        <v>2717</v>
      </c>
      <c r="C55" s="2" t="s">
        <v>2699</v>
      </c>
      <c r="D55" s="2" t="s">
        <v>311</v>
      </c>
      <c r="E55" s="2" t="s">
        <v>2718</v>
      </c>
      <c r="F55" s="2" t="s">
        <v>2719</v>
      </c>
      <c r="G55" s="2" t="s">
        <v>2720</v>
      </c>
      <c r="H55" s="2" t="s">
        <v>2721</v>
      </c>
      <c r="I55" s="2" t="s">
        <v>2722</v>
      </c>
      <c r="J55" s="2" t="s">
        <v>2723</v>
      </c>
      <c r="K55" s="2" t="s">
        <v>2724</v>
      </c>
      <c r="L55" s="2" t="s">
        <v>2707</v>
      </c>
      <c r="M55" s="2" t="s">
        <v>2376</v>
      </c>
      <c r="N55" s="2" t="s">
        <v>29</v>
      </c>
      <c r="O55" s="2" t="s">
        <v>26</v>
      </c>
      <c r="P55" s="2"/>
      <c r="Q55" s="2" t="s">
        <v>80</v>
      </c>
    </row>
    <row r="56" spans="1:17" ht="117.25" customHeight="1">
      <c r="A56" s="2">
        <v>55</v>
      </c>
      <c r="B56" s="2" t="s">
        <v>994</v>
      </c>
      <c r="C56" s="2" t="s">
        <v>2725</v>
      </c>
      <c r="D56" s="2" t="s">
        <v>29</v>
      </c>
      <c r="E56" s="2" t="s">
        <v>2726</v>
      </c>
      <c r="F56" s="2" t="s">
        <v>2727</v>
      </c>
      <c r="G56" s="2" t="s">
        <v>2728</v>
      </c>
      <c r="H56" s="2" t="s">
        <v>2729</v>
      </c>
      <c r="I56" s="2" t="s">
        <v>2730</v>
      </c>
      <c r="J56" s="2" t="s">
        <v>2731</v>
      </c>
      <c r="K56" s="2" t="s">
        <v>2732</v>
      </c>
      <c r="L56" s="2" t="s">
        <v>2733</v>
      </c>
      <c r="M56" s="2" t="s">
        <v>2274</v>
      </c>
      <c r="N56" s="2" t="s">
        <v>27</v>
      </c>
      <c r="O56" s="2" t="s">
        <v>26</v>
      </c>
      <c r="P56" s="2"/>
      <c r="Q56" s="2" t="s">
        <v>741</v>
      </c>
    </row>
    <row r="57" spans="1:17" ht="117.25" customHeight="1">
      <c r="A57" s="2">
        <v>56</v>
      </c>
      <c r="B57" s="2" t="s">
        <v>2734</v>
      </c>
      <c r="C57" s="2" t="s">
        <v>2725</v>
      </c>
      <c r="D57" s="2" t="s">
        <v>29</v>
      </c>
      <c r="E57" s="2" t="s">
        <v>2735</v>
      </c>
      <c r="F57" s="2" t="s">
        <v>2736</v>
      </c>
      <c r="G57" s="2" t="s">
        <v>2737</v>
      </c>
      <c r="H57" s="2" t="s">
        <v>2738</v>
      </c>
      <c r="I57" s="2" t="s">
        <v>2739</v>
      </c>
      <c r="J57" s="2" t="s">
        <v>2740</v>
      </c>
      <c r="K57" s="2" t="s">
        <v>2741</v>
      </c>
      <c r="L57" s="2" t="s">
        <v>2742</v>
      </c>
      <c r="M57" s="2" t="s">
        <v>2274</v>
      </c>
      <c r="N57" s="2" t="s">
        <v>29</v>
      </c>
      <c r="O57" s="2" t="s">
        <v>26</v>
      </c>
      <c r="P57" s="2"/>
      <c r="Q57" s="2" t="s">
        <v>741</v>
      </c>
    </row>
    <row r="58" spans="1:17" ht="117.25" customHeight="1">
      <c r="A58" s="2">
        <v>57</v>
      </c>
      <c r="B58" s="2" t="s">
        <v>2743</v>
      </c>
      <c r="C58" s="2" t="s">
        <v>2699</v>
      </c>
      <c r="D58" s="2" t="s">
        <v>29</v>
      </c>
      <c r="E58" s="2" t="s">
        <v>2744</v>
      </c>
      <c r="F58" s="2" t="s">
        <v>2745</v>
      </c>
      <c r="G58" s="2" t="s">
        <v>2746</v>
      </c>
      <c r="H58" s="2" t="s">
        <v>2747</v>
      </c>
      <c r="I58" s="2" t="s">
        <v>2748</v>
      </c>
      <c r="J58" s="2" t="s">
        <v>2749</v>
      </c>
      <c r="K58" s="2" t="s">
        <v>2750</v>
      </c>
      <c r="L58" s="2" t="s">
        <v>2751</v>
      </c>
      <c r="M58" s="2" t="s">
        <v>2274</v>
      </c>
      <c r="N58" s="2" t="s">
        <v>27</v>
      </c>
      <c r="O58" s="2" t="s">
        <v>26</v>
      </c>
      <c r="P58" s="2"/>
      <c r="Q58" s="2" t="s">
        <v>80</v>
      </c>
    </row>
    <row r="59" spans="1:17" ht="117.25" customHeight="1">
      <c r="A59" s="2">
        <v>58</v>
      </c>
      <c r="B59" s="2" t="s">
        <v>2752</v>
      </c>
      <c r="C59" s="2" t="s">
        <v>2699</v>
      </c>
      <c r="D59" s="2" t="s">
        <v>29</v>
      </c>
      <c r="E59" s="2" t="s">
        <v>2753</v>
      </c>
      <c r="F59" s="2" t="s">
        <v>2754</v>
      </c>
      <c r="G59" s="2" t="s">
        <v>2755</v>
      </c>
      <c r="H59" s="2" t="s">
        <v>2756</v>
      </c>
      <c r="I59" s="2" t="s">
        <v>2757</v>
      </c>
      <c r="J59" s="2" t="s">
        <v>2758</v>
      </c>
      <c r="K59" s="2" t="s">
        <v>2759</v>
      </c>
      <c r="L59" s="2" t="s">
        <v>2760</v>
      </c>
      <c r="M59" s="2" t="s">
        <v>2274</v>
      </c>
      <c r="N59" s="2" t="s">
        <v>27</v>
      </c>
      <c r="O59" s="2" t="s">
        <v>26</v>
      </c>
      <c r="P59" s="2"/>
      <c r="Q59" s="2" t="s">
        <v>80</v>
      </c>
    </row>
    <row r="60" spans="1:17" ht="117.25" customHeight="1">
      <c r="A60" s="2">
        <v>59</v>
      </c>
      <c r="B60" s="2" t="s">
        <v>2761</v>
      </c>
      <c r="C60" s="2" t="s">
        <v>2762</v>
      </c>
      <c r="D60" s="2" t="s">
        <v>2763</v>
      </c>
      <c r="E60" s="2" t="s">
        <v>311</v>
      </c>
      <c r="F60" s="2" t="s">
        <v>2764</v>
      </c>
      <c r="G60" s="2" t="s">
        <v>2765</v>
      </c>
      <c r="H60" s="2" t="s">
        <v>2766</v>
      </c>
      <c r="I60" s="2" t="s">
        <v>2767</v>
      </c>
      <c r="J60" s="2" t="s">
        <v>2768</v>
      </c>
      <c r="K60" s="2" t="s">
        <v>2769</v>
      </c>
      <c r="L60" s="2" t="s">
        <v>2770</v>
      </c>
      <c r="M60" s="2" t="s">
        <v>2771</v>
      </c>
      <c r="N60" s="2" t="s">
        <v>2357</v>
      </c>
      <c r="O60" s="2" t="s">
        <v>26</v>
      </c>
      <c r="P60" s="2"/>
      <c r="Q60" s="2" t="s">
        <v>29</v>
      </c>
    </row>
    <row r="61" spans="1:17" ht="117.25" customHeight="1">
      <c r="A61" s="2">
        <v>60</v>
      </c>
      <c r="B61" s="2" t="s">
        <v>2772</v>
      </c>
      <c r="C61" s="2" t="s">
        <v>2773</v>
      </c>
      <c r="D61" s="2" t="s">
        <v>29</v>
      </c>
      <c r="E61" s="2" t="s">
        <v>2774</v>
      </c>
      <c r="F61" s="2" t="s">
        <v>2775</v>
      </c>
      <c r="G61" s="2" t="s">
        <v>2776</v>
      </c>
      <c r="H61" s="2" t="s">
        <v>2777</v>
      </c>
      <c r="I61" s="2" t="s">
        <v>2778</v>
      </c>
      <c r="J61" s="2" t="s">
        <v>2779</v>
      </c>
      <c r="K61" s="2" t="s">
        <v>2780</v>
      </c>
      <c r="L61" s="2" t="s">
        <v>2781</v>
      </c>
      <c r="M61" s="2" t="s">
        <v>2376</v>
      </c>
      <c r="N61" s="2" t="s">
        <v>29</v>
      </c>
      <c r="O61" s="2" t="s">
        <v>26</v>
      </c>
      <c r="P61" s="2"/>
      <c r="Q61" s="2" t="s">
        <v>1950</v>
      </c>
    </row>
    <row r="62" spans="1:17" ht="117.25" customHeight="1">
      <c r="A62" s="2">
        <v>61</v>
      </c>
      <c r="B62" s="2" t="s">
        <v>2782</v>
      </c>
      <c r="C62" s="2" t="s">
        <v>2783</v>
      </c>
      <c r="D62" s="2" t="s">
        <v>2784</v>
      </c>
      <c r="E62" s="2" t="s">
        <v>29</v>
      </c>
      <c r="F62" s="2" t="s">
        <v>2785</v>
      </c>
      <c r="G62" s="2" t="s">
        <v>2786</v>
      </c>
      <c r="H62" s="2" t="s">
        <v>2787</v>
      </c>
      <c r="I62" s="2" t="s">
        <v>2788</v>
      </c>
      <c r="J62" s="2" t="s">
        <v>2789</v>
      </c>
      <c r="K62" s="2" t="s">
        <v>2790</v>
      </c>
      <c r="L62" s="2" t="s">
        <v>2791</v>
      </c>
      <c r="M62" s="2" t="s">
        <v>2792</v>
      </c>
      <c r="N62" s="2" t="s">
        <v>2357</v>
      </c>
      <c r="O62" s="2" t="s">
        <v>26</v>
      </c>
      <c r="P62" s="2"/>
      <c r="Q62" s="2" t="s">
        <v>27</v>
      </c>
    </row>
    <row r="63" spans="1:17" ht="117.25" customHeight="1">
      <c r="A63" s="2">
        <v>62</v>
      </c>
      <c r="B63" s="2" t="s">
        <v>2015</v>
      </c>
      <c r="C63" s="2" t="s">
        <v>2016</v>
      </c>
      <c r="D63" s="2" t="s">
        <v>2784</v>
      </c>
      <c r="E63" s="2" t="s">
        <v>29</v>
      </c>
      <c r="F63" s="2" t="s">
        <v>2793</v>
      </c>
      <c r="G63" s="2" t="s">
        <v>2794</v>
      </c>
      <c r="H63" s="2" t="s">
        <v>2795</v>
      </c>
      <c r="I63" s="2" t="s">
        <v>2796</v>
      </c>
      <c r="J63" s="2" t="s">
        <v>2797</v>
      </c>
      <c r="K63" s="2" t="s">
        <v>2798</v>
      </c>
      <c r="L63" s="2" t="s">
        <v>2799</v>
      </c>
      <c r="M63" s="2" t="s">
        <v>2800</v>
      </c>
      <c r="N63" s="2" t="s">
        <v>2376</v>
      </c>
      <c r="O63" s="2" t="s">
        <v>26</v>
      </c>
      <c r="P63" s="2"/>
      <c r="Q63" s="2" t="s">
        <v>27</v>
      </c>
    </row>
    <row r="64" spans="1:17" ht="117.25" customHeight="1">
      <c r="A64" s="2">
        <v>63</v>
      </c>
      <c r="B64" s="2" t="s">
        <v>2801</v>
      </c>
      <c r="C64" s="2" t="s">
        <v>2802</v>
      </c>
      <c r="D64" s="2" t="s">
        <v>311</v>
      </c>
      <c r="E64" s="2" t="s">
        <v>2803</v>
      </c>
      <c r="F64" s="2" t="s">
        <v>2804</v>
      </c>
      <c r="G64" s="2" t="s">
        <v>2805</v>
      </c>
      <c r="H64" s="2" t="s">
        <v>2806</v>
      </c>
      <c r="I64" s="2" t="s">
        <v>2807</v>
      </c>
      <c r="J64" s="2" t="s">
        <v>2808</v>
      </c>
      <c r="K64" s="2" t="s">
        <v>2809</v>
      </c>
      <c r="L64" s="2" t="s">
        <v>2810</v>
      </c>
      <c r="M64" s="2" t="s">
        <v>2376</v>
      </c>
      <c r="N64" s="2" t="s">
        <v>27</v>
      </c>
      <c r="O64" s="2" t="s">
        <v>26</v>
      </c>
      <c r="P64" s="2"/>
      <c r="Q64" s="2" t="s">
        <v>2811</v>
      </c>
    </row>
    <row r="65" spans="1:17" ht="117.25" customHeight="1">
      <c r="A65" s="2">
        <v>64</v>
      </c>
      <c r="B65" s="2" t="s">
        <v>2812</v>
      </c>
      <c r="C65" s="2" t="s">
        <v>2813</v>
      </c>
      <c r="D65" s="2" t="s">
        <v>29</v>
      </c>
      <c r="E65" s="2" t="s">
        <v>2814</v>
      </c>
      <c r="F65" s="2" t="s">
        <v>2815</v>
      </c>
      <c r="G65" s="2" t="s">
        <v>2816</v>
      </c>
      <c r="H65" s="2" t="s">
        <v>2817</v>
      </c>
      <c r="I65" s="2" t="s">
        <v>2818</v>
      </c>
      <c r="J65" s="2" t="s">
        <v>2819</v>
      </c>
      <c r="K65" s="2" t="s">
        <v>2820</v>
      </c>
      <c r="L65" s="2" t="s">
        <v>2821</v>
      </c>
      <c r="M65" s="2" t="s">
        <v>2220</v>
      </c>
      <c r="N65" s="2" t="s">
        <v>27</v>
      </c>
      <c r="O65" s="2" t="s">
        <v>26</v>
      </c>
      <c r="P65" s="2"/>
      <c r="Q65" s="2" t="s">
        <v>1758</v>
      </c>
    </row>
  </sheetData>
  <conditionalFormatting sqref="N2:N65">
    <cfRule type="expression" dxfId="6" priority="4">
      <formula>N2="Essential"</formula>
    </cfRule>
  </conditionalFormatting>
  <conditionalFormatting sqref="O2:O65">
    <cfRule type="expression" dxfId="5" priority="1">
      <formula>INDIRECT("RC",FALSE)="Confident"</formula>
    </cfRule>
    <cfRule type="expression" dxfId="4" priority="2">
      <formula>INDIRECT("RC",FALSE)="Learning"</formula>
    </cfRule>
    <cfRule type="expression" dxfId="3" priority="3">
      <formula>INDIRECT("RC",FALSE)="Reviewed"</formula>
    </cfRule>
  </conditionalFormatting>
  <dataValidations count="1">
    <dataValidation type="list" sqref="O2:O65" xr:uid="{00000000-0002-0000-0200-000000000000}">
      <formula1>"Not started,Learning,Reviewed,Confident"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topLeftCell="B1" workbookViewId="0"/>
  </sheetViews>
  <sheetFormatPr baseColWidth="10" defaultColWidth="8.83203125" defaultRowHeight="15"/>
  <cols>
    <col min="1" max="1" width="8" customWidth="1"/>
    <col min="2" max="2" width="27" customWidth="1"/>
    <col min="3" max="3" width="38" customWidth="1"/>
    <col min="4" max="4" width="48" customWidth="1"/>
    <col min="5" max="5" width="42" customWidth="1"/>
    <col min="6" max="6" width="48" customWidth="1"/>
    <col min="7" max="8" width="15" customWidth="1"/>
    <col min="9" max="9" width="38" customWidth="1"/>
  </cols>
  <sheetData>
    <row r="1" spans="1:9" ht="32">
      <c r="A1" s="1" t="s">
        <v>2822</v>
      </c>
      <c r="B1" s="1" t="s">
        <v>2823</v>
      </c>
      <c r="C1" s="1" t="s">
        <v>2824</v>
      </c>
      <c r="D1" s="1" t="s">
        <v>2825</v>
      </c>
      <c r="E1" s="1" t="s">
        <v>2826</v>
      </c>
      <c r="F1" s="1" t="s">
        <v>2827</v>
      </c>
      <c r="G1" s="1" t="s">
        <v>2828</v>
      </c>
      <c r="H1" s="1" t="s">
        <v>69</v>
      </c>
      <c r="I1" s="1" t="s">
        <v>2829</v>
      </c>
    </row>
    <row r="2" spans="1:9" ht="109.25" customHeight="1">
      <c r="A2" s="2">
        <v>1</v>
      </c>
      <c r="B2" s="2" t="s">
        <v>2830</v>
      </c>
      <c r="C2" s="2" t="s">
        <v>2831</v>
      </c>
      <c r="D2" s="2" t="s">
        <v>2832</v>
      </c>
      <c r="E2" s="2" t="s">
        <v>2833</v>
      </c>
      <c r="F2" s="2" t="s">
        <v>2834</v>
      </c>
      <c r="G2" s="2">
        <v>12</v>
      </c>
      <c r="H2" s="2" t="s">
        <v>26</v>
      </c>
      <c r="I2" s="2"/>
    </row>
    <row r="3" spans="1:9" ht="109.25" customHeight="1">
      <c r="A3" s="2">
        <v>2</v>
      </c>
      <c r="B3" s="2" t="s">
        <v>2835</v>
      </c>
      <c r="C3" s="2" t="s">
        <v>2836</v>
      </c>
      <c r="D3" s="2" t="s">
        <v>2837</v>
      </c>
      <c r="E3" s="2" t="s">
        <v>2838</v>
      </c>
      <c r="F3" s="2" t="s">
        <v>2839</v>
      </c>
      <c r="G3" s="2">
        <v>18</v>
      </c>
      <c r="H3" s="2" t="s">
        <v>26</v>
      </c>
      <c r="I3" s="2"/>
    </row>
    <row r="4" spans="1:9" ht="109.25" customHeight="1">
      <c r="A4" s="2">
        <v>3</v>
      </c>
      <c r="B4" s="2" t="s">
        <v>2840</v>
      </c>
      <c r="C4" s="2" t="s">
        <v>2841</v>
      </c>
      <c r="D4" s="2" t="s">
        <v>2842</v>
      </c>
      <c r="E4" s="2" t="s">
        <v>2843</v>
      </c>
      <c r="F4" s="2" t="s">
        <v>2844</v>
      </c>
      <c r="G4" s="2">
        <v>25</v>
      </c>
      <c r="H4" s="2" t="s">
        <v>26</v>
      </c>
      <c r="I4" s="2"/>
    </row>
    <row r="5" spans="1:9" ht="109.25" customHeight="1">
      <c r="A5" s="2">
        <v>4</v>
      </c>
      <c r="B5" s="2" t="s">
        <v>2845</v>
      </c>
      <c r="C5" s="2" t="s">
        <v>2846</v>
      </c>
      <c r="D5" s="2" t="s">
        <v>2847</v>
      </c>
      <c r="E5" s="2" t="s">
        <v>2848</v>
      </c>
      <c r="F5" s="2" t="s">
        <v>2849</v>
      </c>
      <c r="G5" s="2">
        <v>25</v>
      </c>
      <c r="H5" s="2" t="s">
        <v>26</v>
      </c>
      <c r="I5" s="2"/>
    </row>
    <row r="6" spans="1:9" ht="109.25" customHeight="1">
      <c r="A6" s="2">
        <v>5</v>
      </c>
      <c r="B6" s="2" t="s">
        <v>2850</v>
      </c>
      <c r="C6" s="2" t="s">
        <v>2851</v>
      </c>
      <c r="D6" s="2" t="s">
        <v>2852</v>
      </c>
      <c r="E6" s="2" t="s">
        <v>2853</v>
      </c>
      <c r="F6" s="2" t="s">
        <v>2854</v>
      </c>
      <c r="G6" s="2">
        <v>30</v>
      </c>
      <c r="H6" s="2" t="s">
        <v>26</v>
      </c>
      <c r="I6" s="2"/>
    </row>
    <row r="7" spans="1:9" ht="109.25" customHeight="1">
      <c r="A7" s="2">
        <v>6</v>
      </c>
      <c r="B7" s="2" t="s">
        <v>2855</v>
      </c>
      <c r="C7" s="2" t="s">
        <v>2856</v>
      </c>
      <c r="D7" s="2" t="s">
        <v>2857</v>
      </c>
      <c r="E7" s="2" t="s">
        <v>2858</v>
      </c>
      <c r="F7" s="2" t="s">
        <v>2859</v>
      </c>
      <c r="G7" s="2">
        <v>30</v>
      </c>
      <c r="H7" s="2" t="s">
        <v>26</v>
      </c>
      <c r="I7" s="2"/>
    </row>
    <row r="8" spans="1:9" ht="109.25" customHeight="1">
      <c r="A8" s="2">
        <v>7</v>
      </c>
      <c r="B8" s="2" t="s">
        <v>2860</v>
      </c>
      <c r="C8" s="2" t="s">
        <v>2861</v>
      </c>
      <c r="D8" s="2" t="s">
        <v>2862</v>
      </c>
      <c r="E8" s="2" t="s">
        <v>2863</v>
      </c>
      <c r="F8" s="2" t="s">
        <v>2864</v>
      </c>
      <c r="G8" s="2">
        <v>25</v>
      </c>
      <c r="H8" s="2" t="s">
        <v>26</v>
      </c>
      <c r="I8" s="2"/>
    </row>
    <row r="9" spans="1:9" ht="109.25" customHeight="1">
      <c r="A9" s="2">
        <v>8</v>
      </c>
      <c r="B9" s="2" t="s">
        <v>2865</v>
      </c>
      <c r="C9" s="2" t="s">
        <v>2866</v>
      </c>
      <c r="D9" s="2" t="s">
        <v>2867</v>
      </c>
      <c r="E9" s="2" t="s">
        <v>2868</v>
      </c>
      <c r="F9" s="2" t="s">
        <v>2869</v>
      </c>
      <c r="G9" s="2">
        <v>25</v>
      </c>
      <c r="H9" s="2" t="s">
        <v>26</v>
      </c>
      <c r="I9" s="2"/>
    </row>
  </sheetData>
  <conditionalFormatting sqref="H2:H9">
    <cfRule type="expression" dxfId="2" priority="1">
      <formula>INDIRECT("RC",FALSE)="Confident"</formula>
    </cfRule>
    <cfRule type="expression" dxfId="1" priority="2">
      <formula>INDIRECT("RC",FALSE)="Learning"</formula>
    </cfRule>
    <cfRule type="expression" dxfId="0" priority="3">
      <formula>INDIRECT("RC",FALSE)="Reviewed"</formula>
    </cfRule>
  </conditionalFormatting>
  <dataValidations count="1">
    <dataValidation type="list" sqref="H2:H9" xr:uid="{00000000-0002-0000-0300-000000000000}">
      <formula1>"Not started,Learning,Reviewed,Confident"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1"/>
  <sheetViews>
    <sheetView workbookViewId="0"/>
  </sheetViews>
  <sheetFormatPr baseColWidth="10" defaultColWidth="8.83203125" defaultRowHeight="15"/>
  <cols>
    <col min="1" max="1" width="14" customWidth="1"/>
    <col min="2" max="2" width="30" customWidth="1"/>
    <col min="3" max="3" width="26" customWidth="1"/>
    <col min="4" max="4" width="48" customWidth="1"/>
    <col min="5" max="5" width="42" customWidth="1"/>
    <col min="6" max="7" width="16" customWidth="1"/>
    <col min="8" max="8" width="36" customWidth="1"/>
    <col min="9" max="9" width="38" customWidth="1"/>
  </cols>
  <sheetData>
    <row r="1" spans="1:9" ht="32">
      <c r="A1" s="1" t="s">
        <v>2870</v>
      </c>
      <c r="B1" s="1" t="s">
        <v>2871</v>
      </c>
      <c r="C1" s="1" t="s">
        <v>62</v>
      </c>
      <c r="D1" s="1" t="s">
        <v>2872</v>
      </c>
      <c r="E1" s="1" t="s">
        <v>2873</v>
      </c>
      <c r="F1" s="1" t="s">
        <v>2874</v>
      </c>
      <c r="G1" s="1" t="s">
        <v>2875</v>
      </c>
      <c r="H1" s="1" t="s">
        <v>2876</v>
      </c>
      <c r="I1" s="1" t="s">
        <v>2877</v>
      </c>
    </row>
    <row r="2" spans="1:9" ht="45.25" customHeight="1">
      <c r="A2" s="6"/>
      <c r="B2" s="2"/>
      <c r="C2" s="2"/>
      <c r="D2" s="2"/>
      <c r="E2" s="2"/>
      <c r="F2" s="2"/>
      <c r="G2" s="2"/>
      <c r="H2" s="2"/>
      <c r="I2" s="2"/>
    </row>
    <row r="3" spans="1:9" ht="45.25" customHeight="1">
      <c r="A3" s="6"/>
      <c r="B3" s="2"/>
      <c r="C3" s="2"/>
      <c r="D3" s="2"/>
      <c r="E3" s="2"/>
      <c r="F3" s="2"/>
      <c r="G3" s="2"/>
      <c r="H3" s="2"/>
      <c r="I3" s="2"/>
    </row>
    <row r="4" spans="1:9" ht="45.25" customHeight="1">
      <c r="A4" s="6"/>
      <c r="B4" s="2"/>
      <c r="C4" s="2"/>
      <c r="D4" s="2"/>
      <c r="E4" s="2"/>
      <c r="F4" s="2"/>
      <c r="G4" s="2"/>
      <c r="H4" s="2"/>
      <c r="I4" s="2"/>
    </row>
    <row r="5" spans="1:9" ht="45.25" customHeight="1">
      <c r="A5" s="6"/>
      <c r="B5" s="2"/>
      <c r="C5" s="2"/>
      <c r="D5" s="2"/>
      <c r="E5" s="2"/>
      <c r="F5" s="2"/>
      <c r="G5" s="2"/>
      <c r="H5" s="2"/>
      <c r="I5" s="2"/>
    </row>
    <row r="6" spans="1:9" ht="45.25" customHeight="1">
      <c r="A6" s="6"/>
      <c r="B6" s="2"/>
      <c r="C6" s="2"/>
      <c r="D6" s="2"/>
      <c r="E6" s="2"/>
      <c r="F6" s="2"/>
      <c r="G6" s="2"/>
      <c r="H6" s="2"/>
      <c r="I6" s="2"/>
    </row>
    <row r="7" spans="1:9" ht="45.25" customHeight="1">
      <c r="A7" s="6"/>
      <c r="B7" s="2"/>
      <c r="C7" s="2"/>
      <c r="D7" s="2"/>
      <c r="E7" s="2"/>
      <c r="F7" s="2"/>
      <c r="G7" s="2"/>
      <c r="H7" s="2"/>
      <c r="I7" s="2"/>
    </row>
    <row r="8" spans="1:9" ht="45.25" customHeight="1">
      <c r="A8" s="6"/>
      <c r="B8" s="2"/>
      <c r="C8" s="2"/>
      <c r="D8" s="2"/>
      <c r="E8" s="2"/>
      <c r="F8" s="2"/>
      <c r="G8" s="2"/>
      <c r="H8" s="2"/>
      <c r="I8" s="2"/>
    </row>
    <row r="9" spans="1:9" ht="45.25" customHeight="1">
      <c r="A9" s="6"/>
      <c r="B9" s="2"/>
      <c r="C9" s="2"/>
      <c r="D9" s="2"/>
      <c r="E9" s="2"/>
      <c r="F9" s="2"/>
      <c r="G9" s="2"/>
      <c r="H9" s="2"/>
      <c r="I9" s="2"/>
    </row>
    <row r="10" spans="1:9" ht="45.25" customHeight="1">
      <c r="A10" s="6"/>
      <c r="B10" s="2"/>
      <c r="C10" s="2"/>
      <c r="D10" s="2"/>
      <c r="E10" s="2"/>
      <c r="F10" s="2"/>
      <c r="G10" s="2"/>
      <c r="H10" s="2"/>
      <c r="I10" s="2"/>
    </row>
    <row r="11" spans="1:9" ht="45.25" customHeight="1">
      <c r="A11" s="6"/>
      <c r="B11" s="2"/>
      <c r="C11" s="2"/>
      <c r="D11" s="2"/>
      <c r="E11" s="2"/>
      <c r="F11" s="2"/>
      <c r="G11" s="2"/>
      <c r="H11" s="2"/>
      <c r="I11" s="2"/>
    </row>
    <row r="12" spans="1:9" ht="45.25" customHeight="1">
      <c r="A12" s="6"/>
      <c r="B12" s="2"/>
      <c r="C12" s="2"/>
      <c r="D12" s="2"/>
      <c r="E12" s="2"/>
      <c r="F12" s="2"/>
      <c r="G12" s="2"/>
      <c r="H12" s="2"/>
      <c r="I12" s="2"/>
    </row>
    <row r="13" spans="1:9" ht="45.25" customHeight="1">
      <c r="A13" s="6"/>
      <c r="B13" s="2"/>
      <c r="C13" s="2"/>
      <c r="D13" s="2"/>
      <c r="E13" s="2"/>
      <c r="F13" s="2"/>
      <c r="G13" s="2"/>
      <c r="H13" s="2"/>
      <c r="I13" s="2"/>
    </row>
    <row r="14" spans="1:9" ht="45.25" customHeight="1">
      <c r="A14" s="6"/>
      <c r="B14" s="2"/>
      <c r="C14" s="2"/>
      <c r="D14" s="2"/>
      <c r="E14" s="2"/>
      <c r="F14" s="2"/>
      <c r="G14" s="2"/>
      <c r="H14" s="2"/>
      <c r="I14" s="2"/>
    </row>
    <row r="15" spans="1:9" ht="45.25" customHeight="1">
      <c r="A15" s="6"/>
      <c r="B15" s="2"/>
      <c r="C15" s="2"/>
      <c r="D15" s="2"/>
      <c r="E15" s="2"/>
      <c r="F15" s="2"/>
      <c r="G15" s="2"/>
      <c r="H15" s="2"/>
      <c r="I15" s="2"/>
    </row>
    <row r="16" spans="1:9" ht="45.25" customHeight="1">
      <c r="A16" s="6"/>
      <c r="B16" s="2"/>
      <c r="C16" s="2"/>
      <c r="D16" s="2"/>
      <c r="E16" s="2"/>
      <c r="F16" s="2"/>
      <c r="G16" s="2"/>
      <c r="H16" s="2"/>
      <c r="I16" s="2"/>
    </row>
    <row r="17" spans="1:9" ht="45.25" customHeight="1">
      <c r="A17" s="6"/>
      <c r="B17" s="2"/>
      <c r="C17" s="2"/>
      <c r="D17" s="2"/>
      <c r="E17" s="2"/>
      <c r="F17" s="2"/>
      <c r="G17" s="2"/>
      <c r="H17" s="2"/>
      <c r="I17" s="2"/>
    </row>
    <row r="18" spans="1:9" ht="45.25" customHeight="1">
      <c r="A18" s="6"/>
      <c r="B18" s="2"/>
      <c r="C18" s="2"/>
      <c r="D18" s="2"/>
      <c r="E18" s="2"/>
      <c r="F18" s="2"/>
      <c r="G18" s="2"/>
      <c r="H18" s="2"/>
      <c r="I18" s="2"/>
    </row>
    <row r="19" spans="1:9" ht="45.25" customHeight="1">
      <c r="A19" s="6"/>
      <c r="B19" s="2"/>
      <c r="C19" s="2"/>
      <c r="D19" s="2"/>
      <c r="E19" s="2"/>
      <c r="F19" s="2"/>
      <c r="G19" s="2"/>
      <c r="H19" s="2"/>
      <c r="I19" s="2"/>
    </row>
    <row r="20" spans="1:9" ht="45.25" customHeight="1">
      <c r="A20" s="6"/>
      <c r="B20" s="2"/>
      <c r="C20" s="2"/>
      <c r="D20" s="2"/>
      <c r="E20" s="2"/>
      <c r="F20" s="2"/>
      <c r="G20" s="2"/>
      <c r="H20" s="2"/>
      <c r="I20" s="2"/>
    </row>
    <row r="21" spans="1:9" ht="45.25" customHeight="1">
      <c r="A21" s="6"/>
      <c r="B21" s="2"/>
      <c r="C21" s="2"/>
      <c r="D21" s="2"/>
      <c r="E21" s="2"/>
      <c r="F21" s="2"/>
      <c r="G21" s="2"/>
      <c r="H21" s="2"/>
      <c r="I21" s="2"/>
    </row>
    <row r="22" spans="1:9" ht="45.25" customHeight="1">
      <c r="A22" s="6"/>
      <c r="B22" s="2"/>
      <c r="C22" s="2"/>
      <c r="D22" s="2"/>
      <c r="E22" s="2"/>
      <c r="F22" s="2"/>
      <c r="G22" s="2"/>
      <c r="H22" s="2"/>
      <c r="I22" s="2"/>
    </row>
    <row r="23" spans="1:9" ht="45.25" customHeight="1">
      <c r="A23" s="6"/>
      <c r="B23" s="2"/>
      <c r="C23" s="2"/>
      <c r="D23" s="2"/>
      <c r="E23" s="2"/>
      <c r="F23" s="2"/>
      <c r="G23" s="2"/>
      <c r="H23" s="2"/>
      <c r="I23" s="2"/>
    </row>
    <row r="24" spans="1:9" ht="45.25" customHeight="1">
      <c r="A24" s="6"/>
      <c r="B24" s="2"/>
      <c r="C24" s="2"/>
      <c r="D24" s="2"/>
      <c r="E24" s="2"/>
      <c r="F24" s="2"/>
      <c r="G24" s="2"/>
      <c r="H24" s="2"/>
      <c r="I24" s="2"/>
    </row>
    <row r="25" spans="1:9" ht="45.25" customHeight="1">
      <c r="A25" s="6"/>
      <c r="B25" s="2"/>
      <c r="C25" s="2"/>
      <c r="D25" s="2"/>
      <c r="E25" s="2"/>
      <c r="F25" s="2"/>
      <c r="G25" s="2"/>
      <c r="H25" s="2"/>
      <c r="I25" s="2"/>
    </row>
    <row r="26" spans="1:9" ht="45.25" customHeight="1">
      <c r="A26" s="6"/>
      <c r="B26" s="2"/>
      <c r="C26" s="2"/>
      <c r="D26" s="2"/>
      <c r="E26" s="2"/>
      <c r="F26" s="2"/>
      <c r="G26" s="2"/>
      <c r="H26" s="2"/>
      <c r="I26" s="2"/>
    </row>
    <row r="27" spans="1:9" ht="45.25" customHeight="1">
      <c r="A27" s="6"/>
      <c r="B27" s="2"/>
      <c r="C27" s="2"/>
      <c r="D27" s="2"/>
      <c r="E27" s="2"/>
      <c r="F27" s="2"/>
      <c r="G27" s="2"/>
      <c r="H27" s="2"/>
      <c r="I27" s="2"/>
    </row>
    <row r="28" spans="1:9" ht="45.25" customHeight="1">
      <c r="A28" s="6"/>
      <c r="B28" s="2"/>
      <c r="C28" s="2"/>
      <c r="D28" s="2"/>
      <c r="E28" s="2"/>
      <c r="F28" s="2"/>
      <c r="G28" s="2"/>
      <c r="H28" s="2"/>
      <c r="I28" s="2"/>
    </row>
    <row r="29" spans="1:9" ht="45.25" customHeight="1">
      <c r="A29" s="6"/>
      <c r="B29" s="2"/>
      <c r="C29" s="2"/>
      <c r="D29" s="2"/>
      <c r="E29" s="2"/>
      <c r="F29" s="2"/>
      <c r="G29" s="2"/>
      <c r="H29" s="2"/>
      <c r="I29" s="2"/>
    </row>
    <row r="30" spans="1:9" ht="45.25" customHeight="1">
      <c r="A30" s="6"/>
      <c r="B30" s="2"/>
      <c r="C30" s="2"/>
      <c r="D30" s="2"/>
      <c r="E30" s="2"/>
      <c r="F30" s="2"/>
      <c r="G30" s="2"/>
      <c r="H30" s="2"/>
      <c r="I30" s="2"/>
    </row>
    <row r="31" spans="1:9" ht="45.25" customHeight="1">
      <c r="A31" s="6"/>
      <c r="B31" s="2"/>
      <c r="C31" s="2"/>
      <c r="D31" s="2"/>
      <c r="E31" s="2"/>
      <c r="F31" s="2"/>
      <c r="G31" s="2"/>
      <c r="H31" s="2"/>
      <c r="I31" s="2"/>
    </row>
    <row r="32" spans="1:9" ht="45.25" customHeight="1">
      <c r="A32" s="6"/>
      <c r="B32" s="2"/>
      <c r="C32" s="2"/>
      <c r="D32" s="2"/>
      <c r="E32" s="2"/>
      <c r="F32" s="2"/>
      <c r="G32" s="2"/>
      <c r="H32" s="2"/>
      <c r="I32" s="2"/>
    </row>
    <row r="33" spans="1:9" ht="45.25" customHeight="1">
      <c r="A33" s="6"/>
      <c r="B33" s="2"/>
      <c r="C33" s="2"/>
      <c r="D33" s="2"/>
      <c r="E33" s="2"/>
      <c r="F33" s="2"/>
      <c r="G33" s="2"/>
      <c r="H33" s="2"/>
      <c r="I33" s="2"/>
    </row>
    <row r="34" spans="1:9" ht="45.25" customHeight="1">
      <c r="A34" s="6"/>
      <c r="B34" s="2"/>
      <c r="C34" s="2"/>
      <c r="D34" s="2"/>
      <c r="E34" s="2"/>
      <c r="F34" s="2"/>
      <c r="G34" s="2"/>
      <c r="H34" s="2"/>
      <c r="I34" s="2"/>
    </row>
    <row r="35" spans="1:9" ht="45.25" customHeight="1">
      <c r="A35" s="6"/>
      <c r="B35" s="2"/>
      <c r="C35" s="2"/>
      <c r="D35" s="2"/>
      <c r="E35" s="2"/>
      <c r="F35" s="2"/>
      <c r="G35" s="2"/>
      <c r="H35" s="2"/>
      <c r="I35" s="2"/>
    </row>
    <row r="36" spans="1:9" ht="45.25" customHeight="1">
      <c r="A36" s="6"/>
      <c r="B36" s="2"/>
      <c r="C36" s="2"/>
      <c r="D36" s="2"/>
      <c r="E36" s="2"/>
      <c r="F36" s="2"/>
      <c r="G36" s="2"/>
      <c r="H36" s="2"/>
      <c r="I36" s="2"/>
    </row>
    <row r="37" spans="1:9" ht="45.25" customHeight="1">
      <c r="A37" s="6"/>
      <c r="B37" s="2"/>
      <c r="C37" s="2"/>
      <c r="D37" s="2"/>
      <c r="E37" s="2"/>
      <c r="F37" s="2"/>
      <c r="G37" s="2"/>
      <c r="H37" s="2"/>
      <c r="I37" s="2"/>
    </row>
    <row r="38" spans="1:9" ht="45.25" customHeight="1">
      <c r="A38" s="6"/>
      <c r="B38" s="2"/>
      <c r="C38" s="2"/>
      <c r="D38" s="2"/>
      <c r="E38" s="2"/>
      <c r="F38" s="2"/>
      <c r="G38" s="2"/>
      <c r="H38" s="2"/>
      <c r="I38" s="2"/>
    </row>
    <row r="39" spans="1:9" ht="45.25" customHeight="1">
      <c r="A39" s="6"/>
      <c r="B39" s="2"/>
      <c r="C39" s="2"/>
      <c r="D39" s="2"/>
      <c r="E39" s="2"/>
      <c r="F39" s="2"/>
      <c r="G39" s="2"/>
      <c r="H39" s="2"/>
      <c r="I39" s="2"/>
    </row>
    <row r="40" spans="1:9" ht="45.25" customHeight="1">
      <c r="A40" s="6"/>
      <c r="B40" s="2"/>
      <c r="C40" s="2"/>
      <c r="D40" s="2"/>
      <c r="E40" s="2"/>
      <c r="F40" s="2"/>
      <c r="G40" s="2"/>
      <c r="H40" s="2"/>
      <c r="I40" s="2"/>
    </row>
    <row r="41" spans="1:9" ht="45.25" customHeight="1">
      <c r="A41" s="6"/>
      <c r="B41" s="2"/>
      <c r="C41" s="2"/>
      <c r="D41" s="2"/>
      <c r="E41" s="2"/>
      <c r="F41" s="2"/>
      <c r="G41" s="2"/>
      <c r="H41" s="2"/>
      <c r="I41" s="2"/>
    </row>
    <row r="42" spans="1:9" ht="45.25" customHeight="1">
      <c r="A42" s="6"/>
      <c r="B42" s="2"/>
      <c r="C42" s="2"/>
      <c r="D42" s="2"/>
      <c r="E42" s="2"/>
      <c r="F42" s="2"/>
      <c r="G42" s="2"/>
      <c r="H42" s="2"/>
      <c r="I42" s="2"/>
    </row>
    <row r="43" spans="1:9" ht="45.25" customHeight="1">
      <c r="A43" s="6"/>
      <c r="B43" s="2"/>
      <c r="C43" s="2"/>
      <c r="D43" s="2"/>
      <c r="E43" s="2"/>
      <c r="F43" s="2"/>
      <c r="G43" s="2"/>
      <c r="H43" s="2"/>
      <c r="I43" s="2"/>
    </row>
    <row r="44" spans="1:9" ht="45.25" customHeight="1">
      <c r="A44" s="6"/>
      <c r="B44" s="2"/>
      <c r="C44" s="2"/>
      <c r="D44" s="2"/>
      <c r="E44" s="2"/>
      <c r="F44" s="2"/>
      <c r="G44" s="2"/>
      <c r="H44" s="2"/>
      <c r="I44" s="2"/>
    </row>
    <row r="45" spans="1:9" ht="45.25" customHeight="1">
      <c r="A45" s="6"/>
      <c r="B45" s="2"/>
      <c r="C45" s="2"/>
      <c r="D45" s="2"/>
      <c r="E45" s="2"/>
      <c r="F45" s="2"/>
      <c r="G45" s="2"/>
      <c r="H45" s="2"/>
      <c r="I45" s="2"/>
    </row>
    <row r="46" spans="1:9" ht="45.25" customHeight="1">
      <c r="A46" s="6"/>
      <c r="B46" s="2"/>
      <c r="C46" s="2"/>
      <c r="D46" s="2"/>
      <c r="E46" s="2"/>
      <c r="F46" s="2"/>
      <c r="G46" s="2"/>
      <c r="H46" s="2"/>
      <c r="I46" s="2"/>
    </row>
    <row r="47" spans="1:9" ht="45.25" customHeight="1">
      <c r="A47" s="6"/>
      <c r="B47" s="2"/>
      <c r="C47" s="2"/>
      <c r="D47" s="2"/>
      <c r="E47" s="2"/>
      <c r="F47" s="2"/>
      <c r="G47" s="2"/>
      <c r="H47" s="2"/>
      <c r="I47" s="2"/>
    </row>
    <row r="48" spans="1:9" ht="45.25" customHeight="1">
      <c r="A48" s="6"/>
      <c r="B48" s="2"/>
      <c r="C48" s="2"/>
      <c r="D48" s="2"/>
      <c r="E48" s="2"/>
      <c r="F48" s="2"/>
      <c r="G48" s="2"/>
      <c r="H48" s="2"/>
      <c r="I48" s="2"/>
    </row>
    <row r="49" spans="1:9" ht="45.25" customHeight="1">
      <c r="A49" s="6"/>
      <c r="B49" s="2"/>
      <c r="C49" s="2"/>
      <c r="D49" s="2"/>
      <c r="E49" s="2"/>
      <c r="F49" s="2"/>
      <c r="G49" s="2"/>
      <c r="H49" s="2"/>
      <c r="I49" s="2"/>
    </row>
    <row r="50" spans="1:9" ht="45.25" customHeight="1">
      <c r="A50" s="6"/>
      <c r="B50" s="2"/>
      <c r="C50" s="2"/>
      <c r="D50" s="2"/>
      <c r="E50" s="2"/>
      <c r="F50" s="2"/>
      <c r="G50" s="2"/>
      <c r="H50" s="2"/>
      <c r="I50" s="2"/>
    </row>
    <row r="51" spans="1:9" ht="45.25" customHeight="1">
      <c r="A51" s="6"/>
      <c r="B51" s="2"/>
      <c r="C51" s="2"/>
      <c r="D51" s="2"/>
      <c r="E51" s="2"/>
      <c r="F51" s="2"/>
      <c r="G51" s="2"/>
      <c r="H51" s="2"/>
      <c r="I51" s="2"/>
    </row>
    <row r="52" spans="1:9" ht="45.25" customHeight="1">
      <c r="A52" s="6"/>
      <c r="B52" s="2"/>
      <c r="C52" s="2"/>
      <c r="D52" s="2"/>
      <c r="E52" s="2"/>
      <c r="F52" s="2"/>
      <c r="G52" s="2"/>
      <c r="H52" s="2"/>
      <c r="I52" s="2"/>
    </row>
    <row r="53" spans="1:9" ht="45.25" customHeight="1">
      <c r="A53" s="6"/>
      <c r="B53" s="2"/>
      <c r="C53" s="2"/>
      <c r="D53" s="2"/>
      <c r="E53" s="2"/>
      <c r="F53" s="2"/>
      <c r="G53" s="2"/>
      <c r="H53" s="2"/>
      <c r="I53" s="2"/>
    </row>
    <row r="54" spans="1:9" ht="45.25" customHeight="1">
      <c r="A54" s="6"/>
      <c r="B54" s="2"/>
      <c r="C54" s="2"/>
      <c r="D54" s="2"/>
      <c r="E54" s="2"/>
      <c r="F54" s="2"/>
      <c r="G54" s="2"/>
      <c r="H54" s="2"/>
      <c r="I54" s="2"/>
    </row>
    <row r="55" spans="1:9" ht="45.25" customHeight="1">
      <c r="A55" s="6"/>
      <c r="B55" s="2"/>
      <c r="C55" s="2"/>
      <c r="D55" s="2"/>
      <c r="E55" s="2"/>
      <c r="F55" s="2"/>
      <c r="G55" s="2"/>
      <c r="H55" s="2"/>
      <c r="I55" s="2"/>
    </row>
    <row r="56" spans="1:9" ht="45.25" customHeight="1">
      <c r="A56" s="6"/>
      <c r="B56" s="2"/>
      <c r="C56" s="2"/>
      <c r="D56" s="2"/>
      <c r="E56" s="2"/>
      <c r="F56" s="2"/>
      <c r="G56" s="2"/>
      <c r="H56" s="2"/>
      <c r="I56" s="2"/>
    </row>
    <row r="57" spans="1:9" ht="45.25" customHeight="1">
      <c r="A57" s="6"/>
      <c r="B57" s="2"/>
      <c r="C57" s="2"/>
      <c r="D57" s="2"/>
      <c r="E57" s="2"/>
      <c r="F57" s="2"/>
      <c r="G57" s="2"/>
      <c r="H57" s="2"/>
      <c r="I57" s="2"/>
    </row>
    <row r="58" spans="1:9" ht="45.25" customHeight="1">
      <c r="A58" s="6"/>
      <c r="B58" s="2"/>
      <c r="C58" s="2"/>
      <c r="D58" s="2"/>
      <c r="E58" s="2"/>
      <c r="F58" s="2"/>
      <c r="G58" s="2"/>
      <c r="H58" s="2"/>
      <c r="I58" s="2"/>
    </row>
    <row r="59" spans="1:9" ht="45.25" customHeight="1">
      <c r="A59" s="6"/>
      <c r="B59" s="2"/>
      <c r="C59" s="2"/>
      <c r="D59" s="2"/>
      <c r="E59" s="2"/>
      <c r="F59" s="2"/>
      <c r="G59" s="2"/>
      <c r="H59" s="2"/>
      <c r="I59" s="2"/>
    </row>
    <row r="60" spans="1:9" ht="45.25" customHeight="1">
      <c r="A60" s="6"/>
      <c r="B60" s="2"/>
      <c r="C60" s="2"/>
      <c r="D60" s="2"/>
      <c r="E60" s="2"/>
      <c r="F60" s="2"/>
      <c r="G60" s="2"/>
      <c r="H60" s="2"/>
      <c r="I60" s="2"/>
    </row>
    <row r="61" spans="1:9" ht="45.25" customHeight="1">
      <c r="A61" s="6"/>
      <c r="B61" s="2"/>
      <c r="C61" s="2"/>
      <c r="D61" s="2"/>
      <c r="E61" s="2"/>
      <c r="F61" s="2"/>
      <c r="G61" s="2"/>
      <c r="H61" s="2"/>
      <c r="I61" s="2"/>
    </row>
    <row r="62" spans="1:9" ht="45.25" customHeight="1">
      <c r="A62" s="6"/>
      <c r="B62" s="2"/>
      <c r="C62" s="2"/>
      <c r="D62" s="2"/>
      <c r="E62" s="2"/>
      <c r="F62" s="2"/>
      <c r="G62" s="2"/>
      <c r="H62" s="2"/>
      <c r="I62" s="2"/>
    </row>
    <row r="63" spans="1:9" ht="45.25" customHeight="1">
      <c r="A63" s="6"/>
      <c r="B63" s="2"/>
      <c r="C63" s="2"/>
      <c r="D63" s="2"/>
      <c r="E63" s="2"/>
      <c r="F63" s="2"/>
      <c r="G63" s="2"/>
      <c r="H63" s="2"/>
      <c r="I63" s="2"/>
    </row>
    <row r="64" spans="1:9" ht="45.25" customHeight="1">
      <c r="A64" s="6"/>
      <c r="B64" s="2"/>
      <c r="C64" s="2"/>
      <c r="D64" s="2"/>
      <c r="E64" s="2"/>
      <c r="F64" s="2"/>
      <c r="G64" s="2"/>
      <c r="H64" s="2"/>
      <c r="I64" s="2"/>
    </row>
    <row r="65" spans="1:9" ht="45.25" customHeight="1">
      <c r="A65" s="6"/>
      <c r="B65" s="2"/>
      <c r="C65" s="2"/>
      <c r="D65" s="2"/>
      <c r="E65" s="2"/>
      <c r="F65" s="2"/>
      <c r="G65" s="2"/>
      <c r="H65" s="2"/>
      <c r="I65" s="2"/>
    </row>
    <row r="66" spans="1:9" ht="45.25" customHeight="1">
      <c r="A66" s="6"/>
      <c r="B66" s="2"/>
      <c r="C66" s="2"/>
      <c r="D66" s="2"/>
      <c r="E66" s="2"/>
      <c r="F66" s="2"/>
      <c r="G66" s="2"/>
      <c r="H66" s="2"/>
      <c r="I66" s="2"/>
    </row>
    <row r="67" spans="1:9" ht="45.25" customHeight="1">
      <c r="A67" s="6"/>
      <c r="B67" s="2"/>
      <c r="C67" s="2"/>
      <c r="D67" s="2"/>
      <c r="E67" s="2"/>
      <c r="F67" s="2"/>
      <c r="G67" s="2"/>
      <c r="H67" s="2"/>
      <c r="I67" s="2"/>
    </row>
    <row r="68" spans="1:9" ht="45.25" customHeight="1">
      <c r="A68" s="6"/>
      <c r="B68" s="2"/>
      <c r="C68" s="2"/>
      <c r="D68" s="2"/>
      <c r="E68" s="2"/>
      <c r="F68" s="2"/>
      <c r="G68" s="2"/>
      <c r="H68" s="2"/>
      <c r="I68" s="2"/>
    </row>
    <row r="69" spans="1:9" ht="45.25" customHeight="1">
      <c r="A69" s="6"/>
      <c r="B69" s="2"/>
      <c r="C69" s="2"/>
      <c r="D69" s="2"/>
      <c r="E69" s="2"/>
      <c r="F69" s="2"/>
      <c r="G69" s="2"/>
      <c r="H69" s="2"/>
      <c r="I69" s="2"/>
    </row>
    <row r="70" spans="1:9" ht="45.25" customHeight="1">
      <c r="A70" s="6"/>
      <c r="B70" s="2"/>
      <c r="C70" s="2"/>
      <c r="D70" s="2"/>
      <c r="E70" s="2"/>
      <c r="F70" s="2"/>
      <c r="G70" s="2"/>
      <c r="H70" s="2"/>
      <c r="I70" s="2"/>
    </row>
    <row r="71" spans="1:9" ht="45.25" customHeight="1">
      <c r="A71" s="6"/>
      <c r="B71" s="2"/>
      <c r="C71" s="2"/>
      <c r="D71" s="2"/>
      <c r="E71" s="2"/>
      <c r="F71" s="2"/>
      <c r="G71" s="2"/>
      <c r="H71" s="2"/>
      <c r="I71" s="2"/>
    </row>
    <row r="72" spans="1:9" ht="45.25" customHeight="1">
      <c r="A72" s="6"/>
      <c r="B72" s="2"/>
      <c r="C72" s="2"/>
      <c r="D72" s="2"/>
      <c r="E72" s="2"/>
      <c r="F72" s="2"/>
      <c r="G72" s="2"/>
      <c r="H72" s="2"/>
      <c r="I72" s="2"/>
    </row>
    <row r="73" spans="1:9" ht="45.25" customHeight="1">
      <c r="A73" s="6"/>
      <c r="B73" s="2"/>
      <c r="C73" s="2"/>
      <c r="D73" s="2"/>
      <c r="E73" s="2"/>
      <c r="F73" s="2"/>
      <c r="G73" s="2"/>
      <c r="H73" s="2"/>
      <c r="I73" s="2"/>
    </row>
    <row r="74" spans="1:9" ht="45.25" customHeight="1">
      <c r="A74" s="6"/>
      <c r="B74" s="2"/>
      <c r="C74" s="2"/>
      <c r="D74" s="2"/>
      <c r="E74" s="2"/>
      <c r="F74" s="2"/>
      <c r="G74" s="2"/>
      <c r="H74" s="2"/>
      <c r="I74" s="2"/>
    </row>
    <row r="75" spans="1:9" ht="45.25" customHeight="1">
      <c r="A75" s="6"/>
      <c r="B75" s="2"/>
      <c r="C75" s="2"/>
      <c r="D75" s="2"/>
      <c r="E75" s="2"/>
      <c r="F75" s="2"/>
      <c r="G75" s="2"/>
      <c r="H75" s="2"/>
      <c r="I75" s="2"/>
    </row>
    <row r="76" spans="1:9" ht="45.25" customHeight="1">
      <c r="A76" s="6"/>
      <c r="B76" s="2"/>
      <c r="C76" s="2"/>
      <c r="D76" s="2"/>
      <c r="E76" s="2"/>
      <c r="F76" s="2"/>
      <c r="G76" s="2"/>
      <c r="H76" s="2"/>
      <c r="I76" s="2"/>
    </row>
    <row r="77" spans="1:9" ht="45.25" customHeight="1">
      <c r="A77" s="6"/>
      <c r="B77" s="2"/>
      <c r="C77" s="2"/>
      <c r="D77" s="2"/>
      <c r="E77" s="2"/>
      <c r="F77" s="2"/>
      <c r="G77" s="2"/>
      <c r="H77" s="2"/>
      <c r="I77" s="2"/>
    </row>
    <row r="78" spans="1:9" ht="45.25" customHeight="1">
      <c r="A78" s="6"/>
      <c r="B78" s="2"/>
      <c r="C78" s="2"/>
      <c r="D78" s="2"/>
      <c r="E78" s="2"/>
      <c r="F78" s="2"/>
      <c r="G78" s="2"/>
      <c r="H78" s="2"/>
      <c r="I78" s="2"/>
    </row>
    <row r="79" spans="1:9" ht="45.25" customHeight="1">
      <c r="A79" s="6"/>
      <c r="B79" s="2"/>
      <c r="C79" s="2"/>
      <c r="D79" s="2"/>
      <c r="E79" s="2"/>
      <c r="F79" s="2"/>
      <c r="G79" s="2"/>
      <c r="H79" s="2"/>
      <c r="I79" s="2"/>
    </row>
    <row r="80" spans="1:9" ht="45.25" customHeight="1">
      <c r="A80" s="6"/>
      <c r="B80" s="2"/>
      <c r="C80" s="2"/>
      <c r="D80" s="2"/>
      <c r="E80" s="2"/>
      <c r="F80" s="2"/>
      <c r="G80" s="2"/>
      <c r="H80" s="2"/>
      <c r="I80" s="2"/>
    </row>
    <row r="81" spans="1:9" ht="45.25" customHeight="1">
      <c r="A81" s="6"/>
      <c r="B81" s="2"/>
      <c r="C81" s="2"/>
      <c r="D81" s="2"/>
      <c r="E81" s="2"/>
      <c r="F81" s="2"/>
      <c r="G81" s="2"/>
      <c r="H81" s="2"/>
      <c r="I81" s="2"/>
    </row>
    <row r="82" spans="1:9" ht="45.25" customHeight="1">
      <c r="A82" s="6"/>
      <c r="B82" s="2"/>
      <c r="C82" s="2"/>
      <c r="D82" s="2"/>
      <c r="E82" s="2"/>
      <c r="F82" s="2"/>
      <c r="G82" s="2"/>
      <c r="H82" s="2"/>
      <c r="I82" s="2"/>
    </row>
    <row r="83" spans="1:9" ht="45.25" customHeight="1">
      <c r="A83" s="6"/>
      <c r="B83" s="2"/>
      <c r="C83" s="2"/>
      <c r="D83" s="2"/>
      <c r="E83" s="2"/>
      <c r="F83" s="2"/>
      <c r="G83" s="2"/>
      <c r="H83" s="2"/>
      <c r="I83" s="2"/>
    </row>
    <row r="84" spans="1:9" ht="45.25" customHeight="1">
      <c r="A84" s="6"/>
      <c r="B84" s="2"/>
      <c r="C84" s="2"/>
      <c r="D84" s="2"/>
      <c r="E84" s="2"/>
      <c r="F84" s="2"/>
      <c r="G84" s="2"/>
      <c r="H84" s="2"/>
      <c r="I84" s="2"/>
    </row>
    <row r="85" spans="1:9" ht="45.25" customHeight="1">
      <c r="A85" s="6"/>
      <c r="B85" s="2"/>
      <c r="C85" s="2"/>
      <c r="D85" s="2"/>
      <c r="E85" s="2"/>
      <c r="F85" s="2"/>
      <c r="G85" s="2"/>
      <c r="H85" s="2"/>
      <c r="I85" s="2"/>
    </row>
    <row r="86" spans="1:9" ht="45.25" customHeight="1">
      <c r="A86" s="6"/>
      <c r="B86" s="2"/>
      <c r="C86" s="2"/>
      <c r="D86" s="2"/>
      <c r="E86" s="2"/>
      <c r="F86" s="2"/>
      <c r="G86" s="2"/>
      <c r="H86" s="2"/>
      <c r="I86" s="2"/>
    </row>
    <row r="87" spans="1:9" ht="45.25" customHeight="1">
      <c r="A87" s="6"/>
      <c r="B87" s="2"/>
      <c r="C87" s="2"/>
      <c r="D87" s="2"/>
      <c r="E87" s="2"/>
      <c r="F87" s="2"/>
      <c r="G87" s="2"/>
      <c r="H87" s="2"/>
      <c r="I87" s="2"/>
    </row>
    <row r="88" spans="1:9" ht="45.25" customHeight="1">
      <c r="A88" s="6"/>
      <c r="B88" s="2"/>
      <c r="C88" s="2"/>
      <c r="D88" s="2"/>
      <c r="E88" s="2"/>
      <c r="F88" s="2"/>
      <c r="G88" s="2"/>
      <c r="H88" s="2"/>
      <c r="I88" s="2"/>
    </row>
    <row r="89" spans="1:9" ht="45.25" customHeight="1">
      <c r="A89" s="6"/>
      <c r="B89" s="2"/>
      <c r="C89" s="2"/>
      <c r="D89" s="2"/>
      <c r="E89" s="2"/>
      <c r="F89" s="2"/>
      <c r="G89" s="2"/>
      <c r="H89" s="2"/>
      <c r="I89" s="2"/>
    </row>
    <row r="90" spans="1:9" ht="45.25" customHeight="1">
      <c r="A90" s="6"/>
      <c r="B90" s="2"/>
      <c r="C90" s="2"/>
      <c r="D90" s="2"/>
      <c r="E90" s="2"/>
      <c r="F90" s="2"/>
      <c r="G90" s="2"/>
      <c r="H90" s="2"/>
      <c r="I90" s="2"/>
    </row>
    <row r="91" spans="1:9" ht="45.25" customHeight="1">
      <c r="A91" s="6"/>
      <c r="B91" s="2"/>
      <c r="C91" s="2"/>
      <c r="D91" s="2"/>
      <c r="E91" s="2"/>
      <c r="F91" s="2"/>
      <c r="G91" s="2"/>
      <c r="H91" s="2"/>
      <c r="I91" s="2"/>
    </row>
    <row r="92" spans="1:9" ht="45.25" customHeight="1">
      <c r="A92" s="6"/>
      <c r="B92" s="2"/>
      <c r="C92" s="2"/>
      <c r="D92" s="2"/>
      <c r="E92" s="2"/>
      <c r="F92" s="2"/>
      <c r="G92" s="2"/>
      <c r="H92" s="2"/>
      <c r="I92" s="2"/>
    </row>
    <row r="93" spans="1:9" ht="45.25" customHeight="1">
      <c r="A93" s="6"/>
      <c r="B93" s="2"/>
      <c r="C93" s="2"/>
      <c r="D93" s="2"/>
      <c r="E93" s="2"/>
      <c r="F93" s="2"/>
      <c r="G93" s="2"/>
      <c r="H93" s="2"/>
      <c r="I93" s="2"/>
    </row>
    <row r="94" spans="1:9" ht="45.25" customHeight="1">
      <c r="A94" s="6"/>
      <c r="B94" s="2"/>
      <c r="C94" s="2"/>
      <c r="D94" s="2"/>
      <c r="E94" s="2"/>
      <c r="F94" s="2"/>
      <c r="G94" s="2"/>
      <c r="H94" s="2"/>
      <c r="I94" s="2"/>
    </row>
    <row r="95" spans="1:9" ht="45.25" customHeight="1">
      <c r="A95" s="6"/>
      <c r="B95" s="2"/>
      <c r="C95" s="2"/>
      <c r="D95" s="2"/>
      <c r="E95" s="2"/>
      <c r="F95" s="2"/>
      <c r="G95" s="2"/>
      <c r="H95" s="2"/>
      <c r="I95" s="2"/>
    </row>
    <row r="96" spans="1:9" ht="45.25" customHeight="1">
      <c r="A96" s="6"/>
      <c r="B96" s="2"/>
      <c r="C96" s="2"/>
      <c r="D96" s="2"/>
      <c r="E96" s="2"/>
      <c r="F96" s="2"/>
      <c r="G96" s="2"/>
      <c r="H96" s="2"/>
      <c r="I96" s="2"/>
    </row>
    <row r="97" spans="1:9" ht="45.25" customHeight="1">
      <c r="A97" s="6"/>
      <c r="B97" s="2"/>
      <c r="C97" s="2"/>
      <c r="D97" s="2"/>
      <c r="E97" s="2"/>
      <c r="F97" s="2"/>
      <c r="G97" s="2"/>
      <c r="H97" s="2"/>
      <c r="I97" s="2"/>
    </row>
    <row r="98" spans="1:9" ht="45.25" customHeight="1">
      <c r="A98" s="6"/>
      <c r="B98" s="2"/>
      <c r="C98" s="2"/>
      <c r="D98" s="2"/>
      <c r="E98" s="2"/>
      <c r="F98" s="2"/>
      <c r="G98" s="2"/>
      <c r="H98" s="2"/>
      <c r="I98" s="2"/>
    </row>
    <row r="99" spans="1:9" ht="45.25" customHeight="1">
      <c r="A99" s="6"/>
      <c r="B99" s="2"/>
      <c r="C99" s="2"/>
      <c r="D99" s="2"/>
      <c r="E99" s="2"/>
      <c r="F99" s="2"/>
      <c r="G99" s="2"/>
      <c r="H99" s="2"/>
      <c r="I99" s="2"/>
    </row>
    <row r="100" spans="1:9" ht="45.25" customHeight="1">
      <c r="A100" s="6"/>
      <c r="B100" s="2"/>
      <c r="C100" s="2"/>
      <c r="D100" s="2"/>
      <c r="E100" s="2"/>
      <c r="F100" s="2"/>
      <c r="G100" s="2"/>
      <c r="H100" s="2"/>
      <c r="I100" s="2"/>
    </row>
    <row r="101" spans="1:9" ht="45.25" customHeight="1">
      <c r="A101" s="6"/>
      <c r="B101" s="2"/>
      <c r="C101" s="2"/>
      <c r="D101" s="2"/>
      <c r="E101" s="2"/>
      <c r="F101" s="2"/>
      <c r="G101" s="2"/>
      <c r="H101" s="2"/>
      <c r="I101" s="2"/>
    </row>
    <row r="102" spans="1:9" ht="45.25" customHeight="1">
      <c r="A102" s="6"/>
      <c r="B102" s="2"/>
      <c r="C102" s="2"/>
      <c r="D102" s="2"/>
      <c r="E102" s="2"/>
      <c r="F102" s="2"/>
      <c r="G102" s="2"/>
      <c r="H102" s="2"/>
      <c r="I102" s="2"/>
    </row>
    <row r="103" spans="1:9" ht="45.25" customHeight="1">
      <c r="A103" s="6"/>
      <c r="B103" s="2"/>
      <c r="C103" s="2"/>
      <c r="D103" s="2"/>
      <c r="E103" s="2"/>
      <c r="F103" s="2"/>
      <c r="G103" s="2"/>
      <c r="H103" s="2"/>
      <c r="I103" s="2"/>
    </row>
    <row r="104" spans="1:9" ht="45.25" customHeight="1">
      <c r="A104" s="6"/>
      <c r="B104" s="2"/>
      <c r="C104" s="2"/>
      <c r="D104" s="2"/>
      <c r="E104" s="2"/>
      <c r="F104" s="2"/>
      <c r="G104" s="2"/>
      <c r="H104" s="2"/>
      <c r="I104" s="2"/>
    </row>
    <row r="105" spans="1:9" ht="45.25" customHeight="1">
      <c r="A105" s="6"/>
      <c r="B105" s="2"/>
      <c r="C105" s="2"/>
      <c r="D105" s="2"/>
      <c r="E105" s="2"/>
      <c r="F105" s="2"/>
      <c r="G105" s="2"/>
      <c r="H105" s="2"/>
      <c r="I105" s="2"/>
    </row>
    <row r="106" spans="1:9" ht="45.25" customHeight="1">
      <c r="A106" s="6"/>
      <c r="B106" s="2"/>
      <c r="C106" s="2"/>
      <c r="D106" s="2"/>
      <c r="E106" s="2"/>
      <c r="F106" s="2"/>
      <c r="G106" s="2"/>
      <c r="H106" s="2"/>
      <c r="I106" s="2"/>
    </row>
    <row r="107" spans="1:9" ht="45.25" customHeight="1">
      <c r="A107" s="6"/>
      <c r="B107" s="2"/>
      <c r="C107" s="2"/>
      <c r="D107" s="2"/>
      <c r="E107" s="2"/>
      <c r="F107" s="2"/>
      <c r="G107" s="2"/>
      <c r="H107" s="2"/>
      <c r="I107" s="2"/>
    </row>
    <row r="108" spans="1:9" ht="45.25" customHeight="1">
      <c r="A108" s="6"/>
      <c r="B108" s="2"/>
      <c r="C108" s="2"/>
      <c r="D108" s="2"/>
      <c r="E108" s="2"/>
      <c r="F108" s="2"/>
      <c r="G108" s="2"/>
      <c r="H108" s="2"/>
      <c r="I108" s="2"/>
    </row>
    <row r="109" spans="1:9" ht="45.25" customHeight="1">
      <c r="A109" s="6"/>
      <c r="B109" s="2"/>
      <c r="C109" s="2"/>
      <c r="D109" s="2"/>
      <c r="E109" s="2"/>
      <c r="F109" s="2"/>
      <c r="G109" s="2"/>
      <c r="H109" s="2"/>
      <c r="I109" s="2"/>
    </row>
    <row r="110" spans="1:9" ht="45.25" customHeight="1">
      <c r="A110" s="6"/>
      <c r="B110" s="2"/>
      <c r="C110" s="2"/>
      <c r="D110" s="2"/>
      <c r="E110" s="2"/>
      <c r="F110" s="2"/>
      <c r="G110" s="2"/>
      <c r="H110" s="2"/>
      <c r="I110" s="2"/>
    </row>
    <row r="111" spans="1:9" ht="45.25" customHeight="1">
      <c r="A111" s="6"/>
      <c r="B111" s="2"/>
      <c r="C111" s="2"/>
      <c r="D111" s="2"/>
      <c r="E111" s="2"/>
      <c r="F111" s="2"/>
      <c r="G111" s="2"/>
      <c r="H111" s="2"/>
      <c r="I111" s="2"/>
    </row>
    <row r="112" spans="1:9" ht="45.25" customHeight="1">
      <c r="A112" s="6"/>
      <c r="B112" s="2"/>
      <c r="C112" s="2"/>
      <c r="D112" s="2"/>
      <c r="E112" s="2"/>
      <c r="F112" s="2"/>
      <c r="G112" s="2"/>
      <c r="H112" s="2"/>
      <c r="I112" s="2"/>
    </row>
    <row r="113" spans="1:9" ht="45.25" customHeight="1">
      <c r="A113" s="6"/>
      <c r="B113" s="2"/>
      <c r="C113" s="2"/>
      <c r="D113" s="2"/>
      <c r="E113" s="2"/>
      <c r="F113" s="2"/>
      <c r="G113" s="2"/>
      <c r="H113" s="2"/>
      <c r="I113" s="2"/>
    </row>
    <row r="114" spans="1:9" ht="45.25" customHeight="1">
      <c r="A114" s="6"/>
      <c r="B114" s="2"/>
      <c r="C114" s="2"/>
      <c r="D114" s="2"/>
      <c r="E114" s="2"/>
      <c r="F114" s="2"/>
      <c r="G114" s="2"/>
      <c r="H114" s="2"/>
      <c r="I114" s="2"/>
    </row>
    <row r="115" spans="1:9" ht="45.25" customHeight="1">
      <c r="A115" s="6"/>
      <c r="B115" s="2"/>
      <c r="C115" s="2"/>
      <c r="D115" s="2"/>
      <c r="E115" s="2"/>
      <c r="F115" s="2"/>
      <c r="G115" s="2"/>
      <c r="H115" s="2"/>
      <c r="I115" s="2"/>
    </row>
    <row r="116" spans="1:9" ht="45.25" customHeight="1">
      <c r="A116" s="6"/>
      <c r="B116" s="2"/>
      <c r="C116" s="2"/>
      <c r="D116" s="2"/>
      <c r="E116" s="2"/>
      <c r="F116" s="2"/>
      <c r="G116" s="2"/>
      <c r="H116" s="2"/>
      <c r="I116" s="2"/>
    </row>
    <row r="117" spans="1:9" ht="45.25" customHeight="1">
      <c r="A117" s="6"/>
      <c r="B117" s="2"/>
      <c r="C117" s="2"/>
      <c r="D117" s="2"/>
      <c r="E117" s="2"/>
      <c r="F117" s="2"/>
      <c r="G117" s="2"/>
      <c r="H117" s="2"/>
      <c r="I117" s="2"/>
    </row>
    <row r="118" spans="1:9" ht="45.25" customHeight="1">
      <c r="A118" s="6"/>
      <c r="B118" s="2"/>
      <c r="C118" s="2"/>
      <c r="D118" s="2"/>
      <c r="E118" s="2"/>
      <c r="F118" s="2"/>
      <c r="G118" s="2"/>
      <c r="H118" s="2"/>
      <c r="I118" s="2"/>
    </row>
    <row r="119" spans="1:9" ht="45.25" customHeight="1">
      <c r="A119" s="6"/>
      <c r="B119" s="2"/>
      <c r="C119" s="2"/>
      <c r="D119" s="2"/>
      <c r="E119" s="2"/>
      <c r="F119" s="2"/>
      <c r="G119" s="2"/>
      <c r="H119" s="2"/>
      <c r="I119" s="2"/>
    </row>
    <row r="120" spans="1:9" ht="45.25" customHeight="1">
      <c r="A120" s="6"/>
      <c r="B120" s="2"/>
      <c r="C120" s="2"/>
      <c r="D120" s="2"/>
      <c r="E120" s="2"/>
      <c r="F120" s="2"/>
      <c r="G120" s="2"/>
      <c r="H120" s="2"/>
      <c r="I120" s="2"/>
    </row>
    <row r="121" spans="1:9" ht="45.25" customHeight="1">
      <c r="A121" s="6"/>
      <c r="B121" s="2"/>
      <c r="C121" s="2"/>
      <c r="D121" s="2"/>
      <c r="E121" s="2"/>
      <c r="F121" s="2"/>
      <c r="G121" s="2"/>
      <c r="H121" s="2"/>
      <c r="I121" s="2"/>
    </row>
    <row r="122" spans="1:9" ht="45.25" customHeight="1">
      <c r="A122" s="6"/>
      <c r="B122" s="2"/>
      <c r="C122" s="2"/>
      <c r="D122" s="2"/>
      <c r="E122" s="2"/>
      <c r="F122" s="2"/>
      <c r="G122" s="2"/>
      <c r="H122" s="2"/>
      <c r="I122" s="2"/>
    </row>
    <row r="123" spans="1:9" ht="45.25" customHeight="1">
      <c r="A123" s="6"/>
      <c r="B123" s="2"/>
      <c r="C123" s="2"/>
      <c r="D123" s="2"/>
      <c r="E123" s="2"/>
      <c r="F123" s="2"/>
      <c r="G123" s="2"/>
      <c r="H123" s="2"/>
      <c r="I123" s="2"/>
    </row>
    <row r="124" spans="1:9" ht="45.25" customHeight="1">
      <c r="A124" s="6"/>
      <c r="B124" s="2"/>
      <c r="C124" s="2"/>
      <c r="D124" s="2"/>
      <c r="E124" s="2"/>
      <c r="F124" s="2"/>
      <c r="G124" s="2"/>
      <c r="H124" s="2"/>
      <c r="I124" s="2"/>
    </row>
    <row r="125" spans="1:9" ht="45.25" customHeight="1">
      <c r="A125" s="6"/>
      <c r="B125" s="2"/>
      <c r="C125" s="2"/>
      <c r="D125" s="2"/>
      <c r="E125" s="2"/>
      <c r="F125" s="2"/>
      <c r="G125" s="2"/>
      <c r="H125" s="2"/>
      <c r="I125" s="2"/>
    </row>
    <row r="126" spans="1:9" ht="45.25" customHeight="1">
      <c r="A126" s="6"/>
      <c r="B126" s="2"/>
      <c r="C126" s="2"/>
      <c r="D126" s="2"/>
      <c r="E126" s="2"/>
      <c r="F126" s="2"/>
      <c r="G126" s="2"/>
      <c r="H126" s="2"/>
      <c r="I126" s="2"/>
    </row>
    <row r="127" spans="1:9" ht="45.25" customHeight="1">
      <c r="A127" s="6"/>
      <c r="B127" s="2"/>
      <c r="C127" s="2"/>
      <c r="D127" s="2"/>
      <c r="E127" s="2"/>
      <c r="F127" s="2"/>
      <c r="G127" s="2"/>
      <c r="H127" s="2"/>
      <c r="I127" s="2"/>
    </row>
    <row r="128" spans="1:9" ht="45.25" customHeight="1">
      <c r="A128" s="6"/>
      <c r="B128" s="2"/>
      <c r="C128" s="2"/>
      <c r="D128" s="2"/>
      <c r="E128" s="2"/>
      <c r="F128" s="2"/>
      <c r="G128" s="2"/>
      <c r="H128" s="2"/>
      <c r="I128" s="2"/>
    </row>
    <row r="129" spans="1:9" ht="45.25" customHeight="1">
      <c r="A129" s="6"/>
      <c r="B129" s="2"/>
      <c r="C129" s="2"/>
      <c r="D129" s="2"/>
      <c r="E129" s="2"/>
      <c r="F129" s="2"/>
      <c r="G129" s="2"/>
      <c r="H129" s="2"/>
      <c r="I129" s="2"/>
    </row>
    <row r="130" spans="1:9" ht="45.25" customHeight="1">
      <c r="A130" s="6"/>
      <c r="B130" s="2"/>
      <c r="C130" s="2"/>
      <c r="D130" s="2"/>
      <c r="E130" s="2"/>
      <c r="F130" s="2"/>
      <c r="G130" s="2"/>
      <c r="H130" s="2"/>
      <c r="I130" s="2"/>
    </row>
    <row r="131" spans="1:9" ht="45.25" customHeight="1">
      <c r="A131" s="6"/>
      <c r="B131" s="2"/>
      <c r="C131" s="2"/>
      <c r="D131" s="2"/>
      <c r="E131" s="2"/>
      <c r="F131" s="2"/>
      <c r="G131" s="2"/>
      <c r="H131" s="2"/>
      <c r="I131" s="2"/>
    </row>
    <row r="132" spans="1:9" ht="45.25" customHeight="1">
      <c r="A132" s="6"/>
      <c r="B132" s="2"/>
      <c r="C132" s="2"/>
      <c r="D132" s="2"/>
      <c r="E132" s="2"/>
      <c r="F132" s="2"/>
      <c r="G132" s="2"/>
      <c r="H132" s="2"/>
      <c r="I132" s="2"/>
    </row>
    <row r="133" spans="1:9" ht="45.25" customHeight="1">
      <c r="A133" s="6"/>
      <c r="B133" s="2"/>
      <c r="C133" s="2"/>
      <c r="D133" s="2"/>
      <c r="E133" s="2"/>
      <c r="F133" s="2"/>
      <c r="G133" s="2"/>
      <c r="H133" s="2"/>
      <c r="I133" s="2"/>
    </row>
    <row r="134" spans="1:9" ht="45.25" customHeight="1">
      <c r="A134" s="6"/>
      <c r="B134" s="2"/>
      <c r="C134" s="2"/>
      <c r="D134" s="2"/>
      <c r="E134" s="2"/>
      <c r="F134" s="2"/>
      <c r="G134" s="2"/>
      <c r="H134" s="2"/>
      <c r="I134" s="2"/>
    </row>
    <row r="135" spans="1:9" ht="45.25" customHeight="1">
      <c r="A135" s="6"/>
      <c r="B135" s="2"/>
      <c r="C135" s="2"/>
      <c r="D135" s="2"/>
      <c r="E135" s="2"/>
      <c r="F135" s="2"/>
      <c r="G135" s="2"/>
      <c r="H135" s="2"/>
      <c r="I135" s="2"/>
    </row>
    <row r="136" spans="1:9" ht="45.25" customHeight="1">
      <c r="A136" s="6"/>
      <c r="B136" s="2"/>
      <c r="C136" s="2"/>
      <c r="D136" s="2"/>
      <c r="E136" s="2"/>
      <c r="F136" s="2"/>
      <c r="G136" s="2"/>
      <c r="H136" s="2"/>
      <c r="I136" s="2"/>
    </row>
    <row r="137" spans="1:9" ht="45.25" customHeight="1">
      <c r="A137" s="6"/>
      <c r="B137" s="2"/>
      <c r="C137" s="2"/>
      <c r="D137" s="2"/>
      <c r="E137" s="2"/>
      <c r="F137" s="2"/>
      <c r="G137" s="2"/>
      <c r="H137" s="2"/>
      <c r="I137" s="2"/>
    </row>
    <row r="138" spans="1:9" ht="45.25" customHeight="1">
      <c r="A138" s="6"/>
      <c r="B138" s="2"/>
      <c r="C138" s="2"/>
      <c r="D138" s="2"/>
      <c r="E138" s="2"/>
      <c r="F138" s="2"/>
      <c r="G138" s="2"/>
      <c r="H138" s="2"/>
      <c r="I138" s="2"/>
    </row>
    <row r="139" spans="1:9" ht="45.25" customHeight="1">
      <c r="A139" s="6"/>
      <c r="B139" s="2"/>
      <c r="C139" s="2"/>
      <c r="D139" s="2"/>
      <c r="E139" s="2"/>
      <c r="F139" s="2"/>
      <c r="G139" s="2"/>
      <c r="H139" s="2"/>
      <c r="I139" s="2"/>
    </row>
    <row r="140" spans="1:9" ht="45.25" customHeight="1">
      <c r="A140" s="6"/>
      <c r="B140" s="2"/>
      <c r="C140" s="2"/>
      <c r="D140" s="2"/>
      <c r="E140" s="2"/>
      <c r="F140" s="2"/>
      <c r="G140" s="2"/>
      <c r="H140" s="2"/>
      <c r="I140" s="2"/>
    </row>
    <row r="141" spans="1:9" ht="45.25" customHeight="1">
      <c r="A141" s="6"/>
      <c r="B141" s="2"/>
      <c r="C141" s="2"/>
      <c r="D141" s="2"/>
      <c r="E141" s="2"/>
      <c r="F141" s="2"/>
      <c r="G141" s="2"/>
      <c r="H141" s="2"/>
      <c r="I141" s="2"/>
    </row>
    <row r="142" spans="1:9" ht="45.25" customHeight="1">
      <c r="A142" s="6"/>
      <c r="B142" s="2"/>
      <c r="C142" s="2"/>
      <c r="D142" s="2"/>
      <c r="E142" s="2"/>
      <c r="F142" s="2"/>
      <c r="G142" s="2"/>
      <c r="H142" s="2"/>
      <c r="I142" s="2"/>
    </row>
    <row r="143" spans="1:9" ht="45.25" customHeight="1">
      <c r="A143" s="6"/>
      <c r="B143" s="2"/>
      <c r="C143" s="2"/>
      <c r="D143" s="2"/>
      <c r="E143" s="2"/>
      <c r="F143" s="2"/>
      <c r="G143" s="2"/>
      <c r="H143" s="2"/>
      <c r="I143" s="2"/>
    </row>
    <row r="144" spans="1:9" ht="45.25" customHeight="1">
      <c r="A144" s="6"/>
      <c r="B144" s="2"/>
      <c r="C144" s="2"/>
      <c r="D144" s="2"/>
      <c r="E144" s="2"/>
      <c r="F144" s="2"/>
      <c r="G144" s="2"/>
      <c r="H144" s="2"/>
      <c r="I144" s="2"/>
    </row>
    <row r="145" spans="1:9" ht="45.25" customHeight="1">
      <c r="A145" s="6"/>
      <c r="B145" s="2"/>
      <c r="C145" s="2"/>
      <c r="D145" s="2"/>
      <c r="E145" s="2"/>
      <c r="F145" s="2"/>
      <c r="G145" s="2"/>
      <c r="H145" s="2"/>
      <c r="I145" s="2"/>
    </row>
    <row r="146" spans="1:9" ht="45.25" customHeight="1">
      <c r="A146" s="6"/>
      <c r="B146" s="2"/>
      <c r="C146" s="2"/>
      <c r="D146" s="2"/>
      <c r="E146" s="2"/>
      <c r="F146" s="2"/>
      <c r="G146" s="2"/>
      <c r="H146" s="2"/>
      <c r="I146" s="2"/>
    </row>
    <row r="147" spans="1:9" ht="45.25" customHeight="1">
      <c r="A147" s="6"/>
      <c r="B147" s="2"/>
      <c r="C147" s="2"/>
      <c r="D147" s="2"/>
      <c r="E147" s="2"/>
      <c r="F147" s="2"/>
      <c r="G147" s="2"/>
      <c r="H147" s="2"/>
      <c r="I147" s="2"/>
    </row>
    <row r="148" spans="1:9" ht="45.25" customHeight="1">
      <c r="A148" s="6"/>
      <c r="B148" s="2"/>
      <c r="C148" s="2"/>
      <c r="D148" s="2"/>
      <c r="E148" s="2"/>
      <c r="F148" s="2"/>
      <c r="G148" s="2"/>
      <c r="H148" s="2"/>
      <c r="I148" s="2"/>
    </row>
    <row r="149" spans="1:9" ht="45.25" customHeight="1">
      <c r="A149" s="6"/>
      <c r="B149" s="2"/>
      <c r="C149" s="2"/>
      <c r="D149" s="2"/>
      <c r="E149" s="2"/>
      <c r="F149" s="2"/>
      <c r="G149" s="2"/>
      <c r="H149" s="2"/>
      <c r="I149" s="2"/>
    </row>
    <row r="150" spans="1:9" ht="45.25" customHeight="1">
      <c r="A150" s="6"/>
      <c r="B150" s="2"/>
      <c r="C150" s="2"/>
      <c r="D150" s="2"/>
      <c r="E150" s="2"/>
      <c r="F150" s="2"/>
      <c r="G150" s="2"/>
      <c r="H150" s="2"/>
      <c r="I150" s="2"/>
    </row>
    <row r="151" spans="1:9" ht="45.25" customHeight="1">
      <c r="A151" s="6"/>
      <c r="B151" s="2"/>
      <c r="C151" s="2"/>
      <c r="D151" s="2"/>
      <c r="E151" s="2"/>
      <c r="F151" s="2"/>
      <c r="G151" s="2"/>
      <c r="H151" s="2"/>
      <c r="I151" s="2"/>
    </row>
  </sheetData>
  <dataValidations count="1">
    <dataValidation type="list" sqref="F2:G151" xr:uid="{00000000-0002-0000-04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/>
  </sheetViews>
  <sheetFormatPr baseColWidth="10" defaultColWidth="8.83203125" defaultRowHeight="15"/>
  <cols>
    <col min="1" max="1" width="29" customWidth="1"/>
    <col min="2" max="2" width="45" customWidth="1"/>
    <col min="3" max="3" width="55" customWidth="1"/>
  </cols>
  <sheetData>
    <row r="1" spans="1:3" ht="16">
      <c r="A1" s="1" t="s">
        <v>2878</v>
      </c>
      <c r="B1" s="1" t="s">
        <v>2879</v>
      </c>
      <c r="C1" s="1" t="s">
        <v>2880</v>
      </c>
    </row>
    <row r="2" spans="1:3" ht="46.75" customHeight="1">
      <c r="A2" s="2" t="s">
        <v>2881</v>
      </c>
      <c r="B2" s="2" t="s">
        <v>2882</v>
      </c>
      <c r="C2" s="2" t="s">
        <v>336</v>
      </c>
    </row>
    <row r="3" spans="1:3" ht="46.75" customHeight="1">
      <c r="A3" s="2" t="s">
        <v>2883</v>
      </c>
      <c r="B3" s="2" t="s">
        <v>2884</v>
      </c>
      <c r="C3" s="2" t="s">
        <v>80</v>
      </c>
    </row>
    <row r="4" spans="1:3" ht="46.75" customHeight="1">
      <c r="A4" s="2" t="s">
        <v>2885</v>
      </c>
      <c r="B4" s="2" t="s">
        <v>2886</v>
      </c>
      <c r="C4" s="2" t="s">
        <v>741</v>
      </c>
    </row>
    <row r="5" spans="1:3" ht="46.75" customHeight="1">
      <c r="A5" s="2" t="s">
        <v>2887</v>
      </c>
      <c r="B5" s="2" t="s">
        <v>2888</v>
      </c>
      <c r="C5" s="2" t="s">
        <v>2889</v>
      </c>
    </row>
    <row r="6" spans="1:3" ht="46.75" customHeight="1">
      <c r="A6" s="2" t="s">
        <v>2890</v>
      </c>
      <c r="B6" s="2" t="s">
        <v>2891</v>
      </c>
      <c r="C6" s="2" t="s">
        <v>2687</v>
      </c>
    </row>
    <row r="7" spans="1:3" ht="46.75" customHeight="1">
      <c r="A7" s="2" t="s">
        <v>2892</v>
      </c>
      <c r="B7" s="2" t="s">
        <v>2893</v>
      </c>
      <c r="C7" s="2" t="s">
        <v>538</v>
      </c>
    </row>
    <row r="8" spans="1:3" ht="46.75" customHeight="1">
      <c r="A8" s="2" t="s">
        <v>2894</v>
      </c>
      <c r="B8" s="2" t="s">
        <v>2895</v>
      </c>
      <c r="C8" s="2" t="s">
        <v>2346</v>
      </c>
    </row>
    <row r="9" spans="1:3" ht="46.75" customHeight="1">
      <c r="A9" s="2" t="s">
        <v>2896</v>
      </c>
      <c r="B9" s="2" t="s">
        <v>2897</v>
      </c>
      <c r="C9" s="2" t="s">
        <v>2898</v>
      </c>
    </row>
    <row r="10" spans="1:3" ht="46.75" customHeight="1">
      <c r="A10" s="2" t="s">
        <v>2899</v>
      </c>
      <c r="B10" s="2" t="s">
        <v>2900</v>
      </c>
      <c r="C10" s="2" t="s">
        <v>640</v>
      </c>
    </row>
    <row r="11" spans="1:3" ht="46.75" customHeight="1">
      <c r="A11" s="2" t="s">
        <v>2901</v>
      </c>
      <c r="B11" s="2" t="s">
        <v>2902</v>
      </c>
      <c r="C11" s="2" t="s">
        <v>2903</v>
      </c>
    </row>
    <row r="12" spans="1:3" ht="46.75" customHeight="1">
      <c r="A12" s="2" t="s">
        <v>2904</v>
      </c>
      <c r="B12" s="2" t="s">
        <v>2905</v>
      </c>
      <c r="C12" s="2" t="s">
        <v>1574</v>
      </c>
    </row>
    <row r="13" spans="1:3" ht="46.75" customHeight="1">
      <c r="A13" s="2" t="s">
        <v>2906</v>
      </c>
      <c r="B13" s="2" t="s">
        <v>2907</v>
      </c>
      <c r="C13" s="2" t="s">
        <v>1329</v>
      </c>
    </row>
    <row r="14" spans="1:3" ht="46.75" customHeight="1">
      <c r="A14" s="2" t="s">
        <v>2908</v>
      </c>
      <c r="B14" s="2" t="s">
        <v>2909</v>
      </c>
      <c r="C14" s="2" t="s">
        <v>2910</v>
      </c>
    </row>
    <row r="15" spans="1:3" ht="46.75" customHeight="1">
      <c r="A15" s="2" t="s">
        <v>2911</v>
      </c>
      <c r="B15" s="2" t="s">
        <v>2912</v>
      </c>
      <c r="C15" s="2" t="s">
        <v>1096</v>
      </c>
    </row>
    <row r="16" spans="1:3" ht="46.75" customHeight="1">
      <c r="A16" s="2" t="s">
        <v>2913</v>
      </c>
      <c r="B16" s="2" t="s">
        <v>2914</v>
      </c>
      <c r="C16" s="2" t="s">
        <v>1758</v>
      </c>
    </row>
    <row r="17" spans="1:3" ht="46.75" customHeight="1">
      <c r="A17" s="2" t="s">
        <v>2915</v>
      </c>
      <c r="B17" s="2" t="s">
        <v>2916</v>
      </c>
      <c r="C17" s="2" t="s">
        <v>2917</v>
      </c>
    </row>
    <row r="18" spans="1:3" ht="46.75" customHeight="1">
      <c r="A18" s="2" t="s">
        <v>2918</v>
      </c>
      <c r="B18" s="2" t="s">
        <v>2919</v>
      </c>
      <c r="C18" s="2" t="s">
        <v>2811</v>
      </c>
    </row>
    <row r="19" spans="1:3" ht="46.75" customHeight="1">
      <c r="A19" s="2" t="s">
        <v>2920</v>
      </c>
      <c r="B19" s="2" t="s">
        <v>2921</v>
      </c>
      <c r="C19" s="2" t="s">
        <v>2922</v>
      </c>
    </row>
    <row r="20" spans="1:3" ht="46.75" customHeight="1">
      <c r="A20" s="2" t="s">
        <v>2923</v>
      </c>
      <c r="B20" s="2" t="s">
        <v>2924</v>
      </c>
      <c r="C20" s="2" t="s">
        <v>1950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/>
  </sheetViews>
  <sheetFormatPr baseColWidth="10" defaultColWidth="8.83203125" defaultRowHeight="15"/>
  <sheetData>
    <row r="1" spans="1:4">
      <c r="A1" t="s">
        <v>69</v>
      </c>
      <c r="B1" t="s">
        <v>25</v>
      </c>
      <c r="C1" t="s">
        <v>63</v>
      </c>
      <c r="D1" t="s">
        <v>2925</v>
      </c>
    </row>
    <row r="2" spans="1:4">
      <c r="A2" t="s">
        <v>26</v>
      </c>
      <c r="B2" t="s">
        <v>27</v>
      </c>
      <c r="C2" t="s">
        <v>74</v>
      </c>
      <c r="D2" t="s">
        <v>2926</v>
      </c>
    </row>
    <row r="3" spans="1:4">
      <c r="A3" t="s">
        <v>28</v>
      </c>
      <c r="B3" t="s">
        <v>29</v>
      </c>
      <c r="C3" t="s">
        <v>29</v>
      </c>
      <c r="D3" t="s">
        <v>2220</v>
      </c>
    </row>
    <row r="4" spans="1:4">
      <c r="A4" t="s">
        <v>30</v>
      </c>
      <c r="B4" t="s">
        <v>31</v>
      </c>
      <c r="C4" t="s">
        <v>311</v>
      </c>
      <c r="D4" t="s">
        <v>2274</v>
      </c>
    </row>
    <row r="5" spans="1:4">
      <c r="A5" t="s">
        <v>32</v>
      </c>
      <c r="D5" t="s">
        <v>2302</v>
      </c>
    </row>
    <row r="6" spans="1:4">
      <c r="D6" t="s">
        <v>2357</v>
      </c>
    </row>
    <row r="7" spans="1:4">
      <c r="D7" t="s">
        <v>2376</v>
      </c>
    </row>
    <row r="8" spans="1:4">
      <c r="D8" t="s">
        <v>2927</v>
      </c>
    </row>
    <row r="9" spans="1:4">
      <c r="D9" t="s">
        <v>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Glossary</vt:lpstr>
      <vt:lpstr>Methodologies</vt:lpstr>
      <vt:lpstr>Learning Path</vt:lpstr>
      <vt:lpstr>Learning Log</vt:lpstr>
      <vt:lpstr>Sources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Honegger</cp:lastModifiedBy>
  <dcterms:modified xsi:type="dcterms:W3CDTF">2026-08-01T08:36:10Z</dcterms:modified>
</cp:coreProperties>
</file>